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eet Mileage Calculator" sheetId="1" state="visible" r:id="rId3"/>
    <sheet name="How It Wor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<sst xmlns="http://schemas.openxmlformats.org/spreadsheetml/2006/main" count="57" uniqueCount="57">
  <si>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Excess Mileage Calculator</t>
  </si>
  <si>
    <t xml:space="preserve">Predict excess mileage charges before they hit  •  Built by Olaris  •  olaris.co.uk</t>
  </si>
  <si>
    <t xml:space="preserve">HOW TO USE: Enter your fleet data in the blue cells below. The calculator projects annual mileage and estimates excess charges based on current trajectory.</t>
  </si>
  <si>
    <t xml:space="preserve">FLEET SUMMARY</t>
  </si>
  <si>
    <t xml:space="preserve">RISK BREAKDOWN</t>
  </si>
  <si>
    <t xml:space="preserve">Total Vehicles</t>
  </si>
  <si>
    <t xml:space="preserve">High Risk (&gt;120% of contract)</t>
  </si>
  <si>
    <t xml:space="preserve">Over Contract</t>
  </si>
  <si>
    <t xml:space="preserve">Moderate Risk (105-120%)</t>
  </si>
  <si>
    <t xml:space="preserve">Under Contract</t>
  </si>
  <si>
    <t xml:space="preserve">On Track (95-105%)</t>
  </si>
  <si>
    <t xml:space="preserve">On Track</t>
  </si>
  <si>
    <t xml:space="preserve">Underutilised (&lt;95%)</t>
  </si>
  <si>
    <t xml:space="preserve">Total Projected Excess Charge</t>
  </si>
  <si>
    <t xml:space="preserve">Avg. Fleet Utilisation</t>
  </si>
  <si>
    <t xml:space="preserve">Total Potential Savings (Under)</t>
  </si>
  <si>
    <t xml:space="preserve">VEHICLE DATA — enter your fleet details in the blue columns</t>
  </si>
  <si>
    <t xml:space="preserve">Vehicle Reg / ID</t>
  </si>
  <si>
    <t xml:space="preserve">Contract Start Date</t>
  </si>
  <si>
    <t xml:space="preserve">Contract End Date</t>
  </si>
  <si>
    <t xml:space="preserve">Annual Contract
Mileage</t>
  </si>
  <si>
    <t xml:space="preserve">Current Odometer
(miles)</t>
  </si>
  <si>
    <t xml:space="preserve">Excess Charge
(pence/mile)</t>
  </si>
  <si>
    <t xml:space="preserve">Projected Annual
Mileage</t>
  </si>
  <si>
    <t xml:space="preserve">Mileage Variance
(annual)</t>
  </si>
  <si>
    <t xml:space="preserve">Projected Excess
Charge (£)</t>
  </si>
  <si>
    <t xml:space="preserve">Potential Savings
(£)</t>
  </si>
  <si>
    <t xml:space="preserve">Contract
Utilisation %</t>
  </si>
  <si>
    <t xml:space="preserve">AB12 CDE</t>
  </si>
  <si>
    <t xml:space="preserve">FG34 HIJ</t>
  </si>
  <si>
    <t xml:space="preserve">KL56 MNO</t>
  </si>
  <si>
    <t xml:space="preserve">PQ78 RST</t>
  </si>
  <si>
    <t xml:space="preserve">UV90 WXY</t>
  </si>
  <si>
    <t xml:space="preserve">How the Excess Mileage Calculator Works</t>
  </si>
  <si>
    <t xml:space="preserve">THE FORMULAS</t>
  </si>
  <si>
    <t xml:space="preserve">Projected Annual Mileage:</t>
  </si>
  <si>
    <t xml:space="preserve">(Current Odometer / Months Since Contract Start) x 12</t>
  </si>
  <si>
    <t xml:space="preserve">This annualises the vehicle's current mileage run-rate. Months are calculated as days elapsed ÷ 30.44 (the average days per month).</t>
  </si>
  <si>
    <t xml:space="preserve">Mileage Variance:</t>
  </si>
  <si>
    <t xml:space="preserve">Projected Annual Mileage minus Annual Contract Mileage</t>
  </si>
  <si>
    <t xml:space="preserve">Positive = over contract (excess charge risk). Negative = under contract (potential savings / reallocation opportunity).</t>
  </si>
  <si>
    <t xml:space="preserve">Projected Excess Charge:</t>
  </si>
  <si>
    <t xml:space="preserve">Mileage Variance x Excess Charge Rate (pence per mile) / 100</t>
  </si>
  <si>
    <t xml:space="preserve">Only applies when projected mileage exceeds contract allowance. This is the annual excess charge at current trajectory.</t>
  </si>
  <si>
    <t xml:space="preserve">Contract Utilisation %:</t>
  </si>
  <si>
    <t xml:space="preserve">(Projected Annual Mileage / Annual Contract Mileage) x 100</t>
  </si>
  <si>
    <t xml:space="preserve">100% = perfectly on track. &gt;105% = moderate risk. &gt;120% = high risk. &lt;95% = underutilised.</t>
  </si>
  <si>
    <t xml:space="preserve">WHAT TO DO WITH THE RESULTS</t>
  </si>
  <si>
    <t xml:space="preserve">Vehicles over contract (red):</t>
  </si>
  <si>
    <t xml:space="preserve">Consider: redistributing mileage across the fleet, extending the contract, swapping the vehicle early, or adjusting driver allocation. Acting 6+ months before lease end avoids the surprise bill.</t>
  </si>
  <si>
    <t xml:space="preserve">Vehicles under contract (green):</t>
  </si>
  <si>
    <t xml:space="preserve">Unused mileage is paid for but wasted. Consider: reallocating allowance to over-mileage vehicles, negotiating contract adjustments, or reviewing whether the vehicle is needed.</t>
  </si>
  <si>
    <t xml:space="preserve">ABOUT THIS CALCULATOR</t>
  </si>
  <si>
    <t xml:space="preserve">This calculator uses the same projection methodology as the Olaris fleet intelligence platform — annualised mileage based on actual run-rate since contract start.</t>
  </si>
  <si>
    <t xml:space="preserve">For real-time, continuous monitoring of your entire fleet with automated alerts, mileage pooling analysis, and integration with 15+ vehicle manufacturers, visit olaris.co.uk</t>
  </si>
  <si>
    <t xml:space="preserve">Built by Olaris — Fleet Intelligence for UK Operators</t>
  </si>
  <si>
    <t xml:space="preserve">olaris.co.uk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</si>
</sst>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"/>
    <numFmt numFmtId="166" formatCode="0.0\%"/>
    <numFmt numFmtId="167" formatCode="dd/mm/yyyy"/>
    <numFmt numFmtId="168" formatCode="#,##0"/>
    <numFmt numFmtId="169" formatCode="0.00"/>
    <numFmt numFmtId="170" formatCode="#,##0;\(#,##0\);\-"/>
    <numFmt numFmtId="171" formatCode="\£#,##0;&quot;(£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06B6D4"/>
      <name val="Arial"/>
      <family val="0"/>
      <charset val="1"/>
    </font>
    <font>
      <sz val="10"/>
      <color rgb="FF06B6D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EF3C7"/>
        <bgColor rgb="FFFEE2E2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FEF3C7"/>
      </patternFill>
    </fill>
    <fill>
      <patternFill patternType="solid">
        <fgColor rgb="FFDCFCE7"/>
        <bgColor rgb="FFCCFFCC"/>
      </patternFill>
    </fill>
    <fill>
      <patternFill patternType="solid">
        <fgColor rgb="FF06B6D4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F8FAFC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B6D4"/>
    <pageSetUpPr fitToPage="false"/>
  </sheetPr>
  <dimension ref="A1:L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12" min="3" style="1" width="18"/>
  </cols>
  <sheetData>
    <row r="1" customFormat="false" ht="30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9.5" hidden="false" customHeight="true" outlineLevel="0" collapsed="false">
      <c r="A2" s="2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0" hidden="false" customHeight="true" outlineLevel="0" collapsed="false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3</v>
      </c>
      <c r="C6" s="6"/>
      <c r="E6" s="6" t="s">
        <v>4</v>
      </c>
      <c r="F6" s="6"/>
    </row>
    <row r="7" customFormat="false" ht="15" hidden="false" customHeight="true" outlineLevel="0" collapsed="false">
      <c r="B7" s="7" t="s">
        <v>5</v>
      </c>
      <c r="C7" s="8" t="n">
        <f aca="false">COUNTA(B17:B116)</f>
        <v>5</v>
      </c>
      <c r="E7" s="7" t="s">
        <v>6</v>
      </c>
      <c r="F7" s="9" t="n">
        <f aca="false">COUNTIFS(L17:L116,"&gt;"&amp;120,B17:B116,"&lt;&gt;"&amp;"")</f>
        <v>0</v>
      </c>
    </row>
    <row r="8" customFormat="false" ht="15" hidden="false" customHeight="true" outlineLevel="0" collapsed="false">
      <c r="B8" s="7" t="s">
        <v>7</v>
      </c>
      <c r="C8" s="9" t="n">
        <f aca="false">COUNTIFS(I17:I116,"&gt;"&amp;0,B17:B116,"&lt;&gt;"&amp;"")</f>
        <v>1</v>
      </c>
      <c r="E8" s="7" t="s">
        <v>8</v>
      </c>
      <c r="F8" s="10" t="n">
        <f aca="false">COUNTIFS(L17:L116,"&gt;"&amp;105,L17:L116,"&lt;="&amp;120,B17:B116,"&lt;&gt;"&amp;"")</f>
        <v>1</v>
      </c>
    </row>
    <row r="9" customFormat="false" ht="15" hidden="false" customHeight="true" outlineLevel="0" collapsed="false">
      <c r="B9" s="7" t="s">
        <v>9</v>
      </c>
      <c r="C9" s="11" t="n">
        <f aca="false">COUNTIFS(I17:I116,"&lt;"&amp;0,B17:B116,"&lt;&gt;"&amp;"")</f>
        <v>4</v>
      </c>
      <c r="E9" s="7" t="s">
        <v>10</v>
      </c>
      <c r="F9" s="11" t="n">
        <f aca="false">COUNTIFS(L17:L116,"&gt;="&amp;95,L17:L116,"&lt;="&amp;105,B17:B116,"&lt;&gt;"&amp;"")</f>
        <v>0</v>
      </c>
    </row>
    <row r="10" customFormat="false" ht="15" hidden="false" customHeight="true" outlineLevel="0" collapsed="false">
      <c r="B10" s="7" t="s">
        <v>11</v>
      </c>
      <c r="C10" s="8" t="n">
        <f aca="false">COUNTIFS(I17:I116,0,B17:B116,"&lt;&gt;"&amp;"")</f>
        <v>0</v>
      </c>
      <c r="E10" s="7" t="s">
        <v>12</v>
      </c>
      <c r="F10" s="12" t="n">
        <f aca="false">COUNTIFS(L17:L116,"&lt;"&amp;95,B17:B116,"&lt;&gt;"&amp;"")</f>
        <v>4</v>
      </c>
    </row>
    <row r="11" customFormat="false" ht="15" hidden="false" customHeight="true" outlineLevel="0" collapsed="false">
      <c r="B11" s="7" t="s">
        <v>13</v>
      </c>
      <c r="C11" s="13" t="n">
        <f aca="false">SUMPRODUCT((B17:B116&lt;&gt;"")*J17:J116)</f>
        <v>173.5</v>
      </c>
      <c r="E11" s="7" t="s">
        <v>14</v>
      </c>
      <c r="F11" s="14" t="n">
        <f aca="false">IFERROR(AVERAGEIF(B17:B116,"&lt;&gt;""",L17:L116),0)</f>
        <v>69.48</v>
      </c>
    </row>
    <row r="12" customFormat="false" ht="15" hidden="false" customHeight="true" outlineLevel="0" collapsed="false">
      <c r="B12" s="7" t="s">
        <v>15</v>
      </c>
      <c r="C12" s="15" t="n">
        <f aca="false">SUMPRODUCT((B17:B116&lt;&gt;"")*K17:K116)</f>
        <v>2157.35</v>
      </c>
    </row>
    <row r="13" customFormat="false" ht="6" hidden="false" customHeight="true" outlineLevel="0" collapsed="false"/>
    <row r="14" customFormat="false" ht="6" hidden="false" customHeight="true" outlineLevel="0" collapsed="false"/>
    <row r="15" customFormat="false" ht="15" hidden="false" customHeight="true" outlineLevel="0" collapsed="false">
      <c r="B15" s="6" t="s">
        <v>16</v>
      </c>
      <c r="C15" s="6"/>
    </row>
    <row r="16" customFormat="false" ht="36" hidden="false" customHeight="true" outlineLevel="0" collapsed="false">
      <c r="B16" s="16" t="s">
        <v>17</v>
      </c>
      <c r="C16" s="16" t="s">
        <v>18</v>
      </c>
      <c r="D16" s="16" t="s">
        <v>19</v>
      </c>
      <c r="E16" s="16" t="s">
        <v>20</v>
      </c>
      <c r="F16" s="16" t="s">
        <v>21</v>
      </c>
      <c r="G16" s="16" t="s">
        <v>22</v>
      </c>
      <c r="H16" s="17" t="s">
        <v>23</v>
      </c>
      <c r="I16" s="17" t="s">
        <v>24</v>
      </c>
      <c r="J16" s="17" t="s">
        <v>25</v>
      </c>
      <c r="K16" s="17" t="s">
        <v>26</v>
      </c>
      <c r="L16" s="17" t="s">
        <v>27</v>
      </c>
    </row>
    <row r="17" customFormat="false" ht="15" hidden="false" customHeight="true" outlineLevel="0" collapsed="false">
      <c r="B17" s="18" t="s">
        <v>28</v>
      </c>
      <c r="C17" s="19" t="n">
        <v>45352</v>
      </c>
      <c r="D17" s="19" t="n">
        <v>46446</v>
      </c>
      <c r="E17" s="20" t="n">
        <v>15000</v>
      </c>
      <c r="F17" s="20" t="n">
        <v>28500</v>
      </c>
      <c r="G17" s="21" t="n">
        <v>8.5</v>
      </c>
      <c r="H17" s="22" t="n">
        <f aca="true">IF(B17="","",ROUND(F17/MAX((TODAY()-C17)/30.44,0.1)*12,0))</f>
        <v>13918</v>
      </c>
      <c r="I17" s="23" t="n">
        <f aca="false">IF(B17="","",H17-E17)</f>
        <v>-1082</v>
      </c>
      <c r="J17" s="24" t="n">
        <f aca="false">IF(OR(B17="",I17="",I17&lt;=0),0,ROUND(I17*G17/100,2))</f>
        <v>0</v>
      </c>
      <c r="K17" s="24" t="n">
        <f aca="false">IF(OR(B17="",I17="",I17&gt;=0),0,ROUND(ABS(I17)*G17/100,2))</f>
        <v>91.97</v>
      </c>
      <c r="L17" s="25" t="n">
        <f aca="false">IF(OR(B17="",H17="",E17="",E17=0),"",ROUND(H17/E17*100,1))</f>
        <v>92.8</v>
      </c>
    </row>
    <row r="18" customFormat="false" ht="15" hidden="false" customHeight="true" outlineLevel="0" collapsed="false">
      <c r="B18" s="26" t="s">
        <v>29</v>
      </c>
      <c r="C18" s="27" t="n">
        <v>45458</v>
      </c>
      <c r="D18" s="27" t="n">
        <v>46552</v>
      </c>
      <c r="E18" s="28" t="n">
        <v>20000</v>
      </c>
      <c r="F18" s="28" t="n">
        <v>22100</v>
      </c>
      <c r="G18" s="29" t="n">
        <v>6</v>
      </c>
      <c r="H18" s="30" t="n">
        <f aca="true">IF(B18="","",ROUND(F18/MAX((TODAY()-C18)/30.44,0.1)*12,0))</f>
        <v>12574</v>
      </c>
      <c r="I18" s="31" t="n">
        <f aca="false">IF(B18="","",H18-E18)</f>
        <v>-7426</v>
      </c>
      <c r="J18" s="32" t="n">
        <f aca="false">IF(OR(B18="",I18="",I18&lt;=0),0,ROUND(I18*G18/100,2))</f>
        <v>0</v>
      </c>
      <c r="K18" s="32" t="n">
        <f aca="false">IF(OR(B18="",I18="",I18&gt;=0),0,ROUND(ABS(I18)*G18/100,2))</f>
        <v>445.56</v>
      </c>
      <c r="L18" s="33" t="n">
        <f aca="false">IF(OR(B18="",H18="",E18="",E18=0),"",ROUND(H18/E18*100,1))</f>
        <v>62.9</v>
      </c>
    </row>
    <row r="19" customFormat="false" ht="15" hidden="false" customHeight="true" outlineLevel="0" collapsed="false">
      <c r="B19" s="18" t="s">
        <v>30</v>
      </c>
      <c r="C19" s="19" t="n">
        <v>45658</v>
      </c>
      <c r="D19" s="19" t="n">
        <v>46752</v>
      </c>
      <c r="E19" s="20" t="n">
        <v>10000</v>
      </c>
      <c r="F19" s="20" t="n">
        <v>14200</v>
      </c>
      <c r="G19" s="21" t="n">
        <v>10</v>
      </c>
      <c r="H19" s="22" t="n">
        <f aca="true">IF(B19="","",ROUND(F19/MAX((TODAY()-C19)/30.44,0.1)*12,0))</f>
        <v>11735</v>
      </c>
      <c r="I19" s="23" t="n">
        <f aca="false">IF(B19="","",H19-E19)</f>
        <v>1735</v>
      </c>
      <c r="J19" s="24" t="n">
        <f aca="false">IF(OR(B19="",I19="",I19&lt;=0),0,ROUND(I19*G19/100,2))</f>
        <v>173.5</v>
      </c>
      <c r="K19" s="24" t="n">
        <f aca="false">IF(OR(B19="",I19="",I19&gt;=0),0,ROUND(ABS(I19)*G19/100,2))</f>
        <v>0</v>
      </c>
      <c r="L19" s="25" t="n">
        <f aca="false">IF(OR(B19="",H19="",E19="",E19=0),"",ROUND(H19/E19*100,1))</f>
        <v>117.4</v>
      </c>
    </row>
    <row r="20" customFormat="false" ht="15" hidden="false" customHeight="true" outlineLevel="0" collapsed="false">
      <c r="B20" s="26" t="s">
        <v>31</v>
      </c>
      <c r="C20" s="27" t="n">
        <v>45536</v>
      </c>
      <c r="D20" s="27" t="n">
        <v>46630</v>
      </c>
      <c r="E20" s="28" t="n">
        <v>12000</v>
      </c>
      <c r="F20" s="28" t="n">
        <v>7800</v>
      </c>
      <c r="G20" s="29" t="n">
        <v>7.5</v>
      </c>
      <c r="H20" s="30" t="n">
        <f aca="true">IF(B20="","",ROUND(F20/MAX((TODAY()-C20)/30.44,0.1)*12,0))</f>
        <v>5052</v>
      </c>
      <c r="I20" s="31" t="n">
        <f aca="false">IF(B20="","",H20-E20)</f>
        <v>-6948</v>
      </c>
      <c r="J20" s="32" t="n">
        <f aca="false">IF(OR(B20="",I20="",I20&lt;=0),0,ROUND(I20*G20/100,2))</f>
        <v>0</v>
      </c>
      <c r="K20" s="32" t="n">
        <f aca="false">IF(OR(B20="",I20="",I20&gt;=0),0,ROUND(ABS(I20)*G20/100,2))</f>
        <v>521.1</v>
      </c>
      <c r="L20" s="33" t="n">
        <f aca="false">IF(OR(B20="",H20="",E20="",E20=0),"",ROUND(H20/E20*100,1))</f>
        <v>42.1</v>
      </c>
    </row>
    <row r="21" customFormat="false" ht="15" hidden="false" customHeight="true" outlineLevel="0" collapsed="false">
      <c r="B21" s="18" t="s">
        <v>32</v>
      </c>
      <c r="C21" s="19" t="n">
        <v>45627</v>
      </c>
      <c r="D21" s="19" t="n">
        <v>46721</v>
      </c>
      <c r="E21" s="20" t="n">
        <v>18000</v>
      </c>
      <c r="F21" s="20" t="n">
        <v>7500</v>
      </c>
      <c r="G21" s="21" t="n">
        <v>9</v>
      </c>
      <c r="H21" s="22" t="n">
        <f aca="true">IF(B21="","",ROUND(F21/MAX((TODAY()-C21)/30.44,0.1)*12,0))</f>
        <v>5792</v>
      </c>
      <c r="I21" s="23" t="n">
        <f aca="false">IF(B21="","",H21-E21)</f>
        <v>-12208</v>
      </c>
      <c r="J21" s="24" t="n">
        <f aca="false">IF(OR(B21="",I21="",I21&lt;=0),0,ROUND(I21*G21/100,2))</f>
        <v>0</v>
      </c>
      <c r="K21" s="24" t="n">
        <f aca="false">IF(OR(B21="",I21="",I21&gt;=0),0,ROUND(ABS(I21)*G21/100,2))</f>
        <v>1098.72</v>
      </c>
      <c r="L21" s="25" t="n">
        <f aca="false">IF(OR(B21="",H21="",E21="",E21=0),"",ROUND(H21/E21*100,1))</f>
        <v>32.2</v>
      </c>
    </row>
    <row r="22" customFormat="false" ht="15" hidden="false" customHeight="true" outlineLevel="0" collapsed="false">
      <c r="B22" s="26"/>
      <c r="C22" s="27"/>
      <c r="D22" s="27"/>
      <c r="E22" s="28"/>
      <c r="F22" s="28"/>
      <c r="G22" s="29"/>
      <c r="H22" s="30" t="str">
        <f aca="true">IF(B22="","",ROUND(F22/MAX((TODAY()-C22)/30.44,0.1)*12,0))</f>
        <v/>
      </c>
      <c r="I22" s="31" t="str">
        <f aca="false">IF(B22="","",H22-E22)</f>
        <v/>
      </c>
      <c r="J22" s="32" t="n">
        <f aca="false">IF(OR(B22="",I22="",I22&lt;=0),0,ROUND(I22*G22/100,2))</f>
        <v>0</v>
      </c>
      <c r="K22" s="32" t="n">
        <f aca="false">IF(OR(B22="",I22="",I22&gt;=0),0,ROUND(ABS(I22)*G22/100,2))</f>
        <v>0</v>
      </c>
      <c r="L22" s="33" t="str">
        <f aca="false">IF(OR(B22="",H22="",E22="",E22=0),"",ROUND(H22/E22*100,1))</f>
        <v/>
      </c>
    </row>
    <row r="23" customFormat="false" ht="15" hidden="false" customHeight="true" outlineLevel="0" collapsed="false">
      <c r="B23" s="18"/>
      <c r="C23" s="19"/>
      <c r="D23" s="19"/>
      <c r="E23" s="20"/>
      <c r="F23" s="20"/>
      <c r="G23" s="21"/>
      <c r="H23" s="22" t="str">
        <f aca="true">IF(B23="","",ROUND(F23/MAX((TODAY()-C23)/30.44,0.1)*12,0))</f>
        <v/>
      </c>
      <c r="I23" s="23" t="str">
        <f aca="false">IF(B23="","",H23-E23)</f>
        <v/>
      </c>
      <c r="J23" s="24" t="n">
        <f aca="false">IF(OR(B23="",I23="",I23&lt;=0),0,ROUND(I23*G23/100,2))</f>
        <v>0</v>
      </c>
      <c r="K23" s="24" t="n">
        <f aca="false">IF(OR(B23="",I23="",I23&gt;=0),0,ROUND(ABS(I23)*G23/100,2))</f>
        <v>0</v>
      </c>
      <c r="L23" s="25" t="str">
        <f aca="false">IF(OR(B23="",H23="",E23="",E23=0),"",ROUND(H23/E23*100,1))</f>
        <v/>
      </c>
    </row>
    <row r="24" customFormat="false" ht="15" hidden="false" customHeight="true" outlineLevel="0" collapsed="false">
      <c r="B24" s="26"/>
      <c r="C24" s="27"/>
      <c r="D24" s="27"/>
      <c r="E24" s="28"/>
      <c r="F24" s="28"/>
      <c r="G24" s="29"/>
      <c r="H24" s="30" t="str">
        <f aca="true">IF(B24="","",ROUND(F24/MAX((TODAY()-C24)/30.44,0.1)*12,0))</f>
        <v/>
      </c>
      <c r="I24" s="31" t="str">
        <f aca="false">IF(B24="","",H24-E24)</f>
        <v/>
      </c>
      <c r="J24" s="32" t="n">
        <f aca="false">IF(OR(B24="",I24="",I24&lt;=0),0,ROUND(I24*G24/100,2))</f>
        <v>0</v>
      </c>
      <c r="K24" s="32" t="n">
        <f aca="false">IF(OR(B24="",I24="",I24&gt;=0),0,ROUND(ABS(I24)*G24/100,2))</f>
        <v>0</v>
      </c>
      <c r="L24" s="33" t="str">
        <f aca="false">IF(OR(B24="",H24="",E24="",E24=0),"",ROUND(H24/E24*100,1))</f>
        <v/>
      </c>
    </row>
    <row r="25" customFormat="false" ht="15" hidden="false" customHeight="true" outlineLevel="0" collapsed="false">
      <c r="B25" s="18"/>
      <c r="C25" s="19"/>
      <c r="D25" s="19"/>
      <c r="E25" s="20"/>
      <c r="F25" s="20"/>
      <c r="G25" s="21"/>
      <c r="H25" s="22" t="str">
        <f aca="true">IF(B25="","",ROUND(F25/MAX((TODAY()-C25)/30.44,0.1)*12,0))</f>
        <v/>
      </c>
      <c r="I25" s="23" t="str">
        <f aca="false">IF(B25="","",H25-E25)</f>
        <v/>
      </c>
      <c r="J25" s="24" t="n">
        <f aca="false">IF(OR(B25="",I25="",I25&lt;=0),0,ROUND(I25*G25/100,2))</f>
        <v>0</v>
      </c>
      <c r="K25" s="24" t="n">
        <f aca="false">IF(OR(B25="",I25="",I25&gt;=0),0,ROUND(ABS(I25)*G25/100,2))</f>
        <v>0</v>
      </c>
      <c r="L25" s="25" t="str">
        <f aca="false">IF(OR(B25="",H25="",E25="",E25=0),"",ROUND(H25/E25*100,1))</f>
        <v/>
      </c>
    </row>
    <row r="26" customFormat="false" ht="15" hidden="false" customHeight="true" outlineLevel="0" collapsed="false">
      <c r="B26" s="26"/>
      <c r="C26" s="27"/>
      <c r="D26" s="27"/>
      <c r="E26" s="28"/>
      <c r="F26" s="28"/>
      <c r="G26" s="29"/>
      <c r="H26" s="30" t="str">
        <f aca="true">IF(B26="","",ROUND(F26/MAX((TODAY()-C26)/30.44,0.1)*12,0))</f>
        <v/>
      </c>
      <c r="I26" s="31" t="str">
        <f aca="false">IF(B26="","",H26-E26)</f>
        <v/>
      </c>
      <c r="J26" s="32" t="n">
        <f aca="false">IF(OR(B26="",I26="",I26&lt;=0),0,ROUND(I26*G26/100,2))</f>
        <v>0</v>
      </c>
      <c r="K26" s="32" t="n">
        <f aca="false">IF(OR(B26="",I26="",I26&gt;=0),0,ROUND(ABS(I26)*G26/100,2))</f>
        <v>0</v>
      </c>
      <c r="L26" s="33" t="str">
        <f aca="false">IF(OR(B26="",H26="",E26="",E26=0),"",ROUND(H26/E26*100,1))</f>
        <v/>
      </c>
    </row>
    <row r="27" customFormat="false" ht="15" hidden="false" customHeight="true" outlineLevel="0" collapsed="false">
      <c r="B27" s="18"/>
      <c r="C27" s="19"/>
      <c r="D27" s="19"/>
      <c r="E27" s="20"/>
      <c r="F27" s="20"/>
      <c r="G27" s="21"/>
      <c r="H27" s="22" t="str">
        <f aca="true">IF(B27="","",ROUND(F27/MAX((TODAY()-C27)/30.44,0.1)*12,0))</f>
        <v/>
      </c>
      <c r="I27" s="23" t="str">
        <f aca="false">IF(B27="","",H27-E27)</f>
        <v/>
      </c>
      <c r="J27" s="24" t="n">
        <f aca="false">IF(OR(B27="",I27="",I27&lt;=0),0,ROUND(I27*G27/100,2))</f>
        <v>0</v>
      </c>
      <c r="K27" s="24" t="n">
        <f aca="false">IF(OR(B27="",I27="",I27&gt;=0),0,ROUND(ABS(I27)*G27/100,2))</f>
        <v>0</v>
      </c>
      <c r="L27" s="25" t="str">
        <f aca="false">IF(OR(B27="",H27="",E27="",E27=0),"",ROUND(H27/E27*100,1))</f>
        <v/>
      </c>
    </row>
    <row r="28" customFormat="false" ht="15" hidden="false" customHeight="true" outlineLevel="0" collapsed="false">
      <c r="B28" s="26"/>
      <c r="C28" s="27"/>
      <c r="D28" s="27"/>
      <c r="E28" s="28"/>
      <c r="F28" s="28"/>
      <c r="G28" s="29"/>
      <c r="H28" s="30" t="str">
        <f aca="true">IF(B28="","",ROUND(F28/MAX((TODAY()-C28)/30.44,0.1)*12,0))</f>
        <v/>
      </c>
      <c r="I28" s="31" t="str">
        <f aca="false">IF(B28="","",H28-E28)</f>
        <v/>
      </c>
      <c r="J28" s="32" t="n">
        <f aca="false">IF(OR(B28="",I28="",I28&lt;=0),0,ROUND(I28*G28/100,2))</f>
        <v>0</v>
      </c>
      <c r="K28" s="32" t="n">
        <f aca="false">IF(OR(B28="",I28="",I28&gt;=0),0,ROUND(ABS(I28)*G28/100,2))</f>
        <v>0</v>
      </c>
      <c r="L28" s="33" t="str">
        <f aca="false">IF(OR(B28="",H28="",E28="",E28=0),"",ROUND(H28/E28*100,1))</f>
        <v/>
      </c>
    </row>
    <row r="29" customFormat="false" ht="15" hidden="false" customHeight="true" outlineLevel="0" collapsed="false">
      <c r="B29" s="18"/>
      <c r="C29" s="19"/>
      <c r="D29" s="19"/>
      <c r="E29" s="20"/>
      <c r="F29" s="20"/>
      <c r="G29" s="21"/>
      <c r="H29" s="22" t="str">
        <f aca="true">IF(B29="","",ROUND(F29/MAX((TODAY()-C29)/30.44,0.1)*12,0))</f>
        <v/>
      </c>
      <c r="I29" s="23" t="str">
        <f aca="false">IF(B29="","",H29-E29)</f>
        <v/>
      </c>
      <c r="J29" s="24" t="n">
        <f aca="false">IF(OR(B29="",I29="",I29&lt;=0),0,ROUND(I29*G29/100,2))</f>
        <v>0</v>
      </c>
      <c r="K29" s="24" t="n">
        <f aca="false">IF(OR(B29="",I29="",I29&gt;=0),0,ROUND(ABS(I29)*G29/100,2))</f>
        <v>0</v>
      </c>
      <c r="L29" s="25" t="str">
        <f aca="false">IF(OR(B29="",H29="",E29="",E29=0),"",ROUND(H29/E29*100,1))</f>
        <v/>
      </c>
    </row>
    <row r="30" customFormat="false" ht="15" hidden="false" customHeight="true" outlineLevel="0" collapsed="false">
      <c r="B30" s="26"/>
      <c r="C30" s="27"/>
      <c r="D30" s="27"/>
      <c r="E30" s="28"/>
      <c r="F30" s="28"/>
      <c r="G30" s="29"/>
      <c r="H30" s="30" t="str">
        <f aca="true">IF(B30="","",ROUND(F30/MAX((TODAY()-C30)/30.44,0.1)*12,0))</f>
        <v/>
      </c>
      <c r="I30" s="31" t="str">
        <f aca="false">IF(B30="","",H30-E30)</f>
        <v/>
      </c>
      <c r="J30" s="32" t="n">
        <f aca="false">IF(OR(B30="",I30="",I30&lt;=0),0,ROUND(I30*G30/100,2))</f>
        <v>0</v>
      </c>
      <c r="K30" s="32" t="n">
        <f aca="false">IF(OR(B30="",I30="",I30&gt;=0),0,ROUND(ABS(I30)*G30/100,2))</f>
        <v>0</v>
      </c>
      <c r="L30" s="33" t="str">
        <f aca="false">IF(OR(B30="",H30="",E30="",E30=0),"",ROUND(H30/E30*100,1))</f>
        <v/>
      </c>
    </row>
    <row r="31" customFormat="false" ht="15" hidden="false" customHeight="true" outlineLevel="0" collapsed="false">
      <c r="B31" s="18"/>
      <c r="C31" s="19"/>
      <c r="D31" s="19"/>
      <c r="E31" s="20"/>
      <c r="F31" s="20"/>
      <c r="G31" s="21"/>
      <c r="H31" s="22" t="str">
        <f aca="true">IF(B31="","",ROUND(F31/MAX((TODAY()-C31)/30.44,0.1)*12,0))</f>
        <v/>
      </c>
      <c r="I31" s="23" t="str">
        <f aca="false">IF(B31="","",H31-E31)</f>
        <v/>
      </c>
      <c r="J31" s="24" t="n">
        <f aca="false">IF(OR(B31="",I31="",I31&lt;=0),0,ROUND(I31*G31/100,2))</f>
        <v>0</v>
      </c>
      <c r="K31" s="24" t="n">
        <f aca="false">IF(OR(B31="",I31="",I31&gt;=0),0,ROUND(ABS(I31)*G31/100,2))</f>
        <v>0</v>
      </c>
      <c r="L31" s="25" t="str">
        <f aca="false">IF(OR(B31="",H31="",E31="",E31=0),"",ROUND(H31/E31*100,1))</f>
        <v/>
      </c>
    </row>
    <row r="32" customFormat="false" ht="15" hidden="false" customHeight="true" outlineLevel="0" collapsed="false">
      <c r="B32" s="26"/>
      <c r="C32" s="27"/>
      <c r="D32" s="27"/>
      <c r="E32" s="28"/>
      <c r="F32" s="28"/>
      <c r="G32" s="29"/>
      <c r="H32" s="30" t="str">
        <f aca="true">IF(B32="","",ROUND(F32/MAX((TODAY()-C32)/30.44,0.1)*12,0))</f>
        <v/>
      </c>
      <c r="I32" s="31" t="str">
        <f aca="false">IF(B32="","",H32-E32)</f>
        <v/>
      </c>
      <c r="J32" s="32" t="n">
        <f aca="false">IF(OR(B32="",I32="",I32&lt;=0),0,ROUND(I32*G32/100,2))</f>
        <v>0</v>
      </c>
      <c r="K32" s="32" t="n">
        <f aca="false">IF(OR(B32="",I32="",I32&gt;=0),0,ROUND(ABS(I32)*G32/100,2))</f>
        <v>0</v>
      </c>
      <c r="L32" s="33" t="str">
        <f aca="false">IF(OR(B32="",H32="",E32="",E32=0),"",ROUND(H32/E32*100,1))</f>
        <v/>
      </c>
    </row>
    <row r="33" customFormat="false" ht="15" hidden="false" customHeight="true" outlineLevel="0" collapsed="false">
      <c r="B33" s="18"/>
      <c r="C33" s="19"/>
      <c r="D33" s="19"/>
      <c r="E33" s="20"/>
      <c r="F33" s="20"/>
      <c r="G33" s="21"/>
      <c r="H33" s="22" t="str">
        <f aca="true">IF(B33="","",ROUND(F33/MAX((TODAY()-C33)/30.44,0.1)*12,0))</f>
        <v/>
      </c>
      <c r="I33" s="23" t="str">
        <f aca="false">IF(B33="","",H33-E33)</f>
        <v/>
      </c>
      <c r="J33" s="24" t="n">
        <f aca="false">IF(OR(B33="",I33="",I33&lt;=0),0,ROUND(I33*G33/100,2))</f>
        <v>0</v>
      </c>
      <c r="K33" s="24" t="n">
        <f aca="false">IF(OR(B33="",I33="",I33&gt;=0),0,ROUND(ABS(I33)*G33/100,2))</f>
        <v>0</v>
      </c>
      <c r="L33" s="25" t="str">
        <f aca="false">IF(OR(B33="",H33="",E33="",E33=0),"",ROUND(H33/E33*100,1))</f>
        <v/>
      </c>
    </row>
    <row r="34" customFormat="false" ht="15" hidden="false" customHeight="true" outlineLevel="0" collapsed="false">
      <c r="B34" s="26"/>
      <c r="C34" s="27"/>
      <c r="D34" s="27"/>
      <c r="E34" s="28"/>
      <c r="F34" s="28"/>
      <c r="G34" s="29"/>
      <c r="H34" s="30" t="str">
        <f aca="true">IF(B34="","",ROUND(F34/MAX((TODAY()-C34)/30.44,0.1)*12,0))</f>
        <v/>
      </c>
      <c r="I34" s="31" t="str">
        <f aca="false">IF(B34="","",H34-E34)</f>
        <v/>
      </c>
      <c r="J34" s="32" t="n">
        <f aca="false">IF(OR(B34="",I34="",I34&lt;=0),0,ROUND(I34*G34/100,2))</f>
        <v>0</v>
      </c>
      <c r="K34" s="32" t="n">
        <f aca="false">IF(OR(B34="",I34="",I34&gt;=0),0,ROUND(ABS(I34)*G34/100,2))</f>
        <v>0</v>
      </c>
      <c r="L34" s="33" t="str">
        <f aca="false">IF(OR(B34="",H34="",E34="",E34=0),"",ROUND(H34/E34*100,1))</f>
        <v/>
      </c>
    </row>
    <row r="35" customFormat="false" ht="15" hidden="false" customHeight="true" outlineLevel="0" collapsed="false">
      <c r="B35" s="18"/>
      <c r="C35" s="19"/>
      <c r="D35" s="19"/>
      <c r="E35" s="20"/>
      <c r="F35" s="20"/>
      <c r="G35" s="21"/>
      <c r="H35" s="22" t="str">
        <f aca="true">IF(B35="","",ROUND(F35/MAX((TODAY()-C35)/30.44,0.1)*12,0))</f>
        <v/>
      </c>
      <c r="I35" s="23" t="str">
        <f aca="false">IF(B35="","",H35-E35)</f>
        <v/>
      </c>
      <c r="J35" s="24" t="n">
        <f aca="false">IF(OR(B35="",I35="",I35&lt;=0),0,ROUND(I35*G35/100,2))</f>
        <v>0</v>
      </c>
      <c r="K35" s="24" t="n">
        <f aca="false">IF(OR(B35="",I35="",I35&gt;=0),0,ROUND(ABS(I35)*G35/100,2))</f>
        <v>0</v>
      </c>
      <c r="L35" s="25" t="str">
        <f aca="false">IF(OR(B35="",H35="",E35="",E35=0),"",ROUND(H35/E35*100,1))</f>
        <v/>
      </c>
    </row>
    <row r="36" customFormat="false" ht="15" hidden="false" customHeight="true" outlineLevel="0" collapsed="false">
      <c r="B36" s="26"/>
      <c r="C36" s="27"/>
      <c r="D36" s="27"/>
      <c r="E36" s="28"/>
      <c r="F36" s="28"/>
      <c r="G36" s="29"/>
      <c r="H36" s="30" t="str">
        <f aca="true">IF(B36="","",ROUND(F36/MAX((TODAY()-C36)/30.44,0.1)*12,0))</f>
        <v/>
      </c>
      <c r="I36" s="31" t="str">
        <f aca="false">IF(B36="","",H36-E36)</f>
        <v/>
      </c>
      <c r="J36" s="32" t="n">
        <f aca="false">IF(OR(B36="",I36="",I36&lt;=0),0,ROUND(I36*G36/100,2))</f>
        <v>0</v>
      </c>
      <c r="K36" s="32" t="n">
        <f aca="false">IF(OR(B36="",I36="",I36&gt;=0),0,ROUND(ABS(I36)*G36/100,2))</f>
        <v>0</v>
      </c>
      <c r="L36" s="33" t="str">
        <f aca="false">IF(OR(B36="",H36="",E36="",E36=0),"",ROUND(H36/E36*100,1))</f>
        <v/>
      </c>
    </row>
    <row r="37" customFormat="false" ht="15" hidden="false" customHeight="true" outlineLevel="0" collapsed="false">
      <c r="B37" s="18"/>
      <c r="C37" s="19"/>
      <c r="D37" s="19"/>
      <c r="E37" s="20"/>
      <c r="F37" s="20"/>
      <c r="G37" s="21"/>
      <c r="H37" s="22" t="str">
        <f aca="true">IF(B37="","",ROUND(F37/MAX((TODAY()-C37)/30.44,0.1)*12,0))</f>
        <v/>
      </c>
      <c r="I37" s="23" t="str">
        <f aca="false">IF(B37="","",H37-E37)</f>
        <v/>
      </c>
      <c r="J37" s="24" t="n">
        <f aca="false">IF(OR(B37="",I37="",I37&lt;=0),0,ROUND(I37*G37/100,2))</f>
        <v>0</v>
      </c>
      <c r="K37" s="24" t="n">
        <f aca="false">IF(OR(B37="",I37="",I37&gt;=0),0,ROUND(ABS(I37)*G37/100,2))</f>
        <v>0</v>
      </c>
      <c r="L37" s="25" t="str">
        <f aca="false">IF(OR(B37="",H37="",E37="",E37=0),"",ROUND(H37/E37*100,1))</f>
        <v/>
      </c>
    </row>
    <row r="38" customFormat="false" ht="15" hidden="false" customHeight="true" outlineLevel="0" collapsed="false">
      <c r="B38" s="26"/>
      <c r="C38" s="27"/>
      <c r="D38" s="27"/>
      <c r="E38" s="28"/>
      <c r="F38" s="28"/>
      <c r="G38" s="29"/>
      <c r="H38" s="30" t="str">
        <f aca="true">IF(B38="","",ROUND(F38/MAX((TODAY()-C38)/30.44,0.1)*12,0))</f>
        <v/>
      </c>
      <c r="I38" s="31" t="str">
        <f aca="false">IF(B38="","",H38-E38)</f>
        <v/>
      </c>
      <c r="J38" s="32" t="n">
        <f aca="false">IF(OR(B38="",I38="",I38&lt;=0),0,ROUND(I38*G38/100,2))</f>
        <v>0</v>
      </c>
      <c r="K38" s="32" t="n">
        <f aca="false">IF(OR(B38="",I38="",I38&gt;=0),0,ROUND(ABS(I38)*G38/100,2))</f>
        <v>0</v>
      </c>
      <c r="L38" s="33" t="str">
        <f aca="false">IF(OR(B38="",H38="",E38="",E38=0),"",ROUND(H38/E38*100,1))</f>
        <v/>
      </c>
    </row>
    <row r="39" customFormat="false" ht="15" hidden="false" customHeight="true" outlineLevel="0" collapsed="false">
      <c r="B39" s="18"/>
      <c r="C39" s="19"/>
      <c r="D39" s="19"/>
      <c r="E39" s="20"/>
      <c r="F39" s="20"/>
      <c r="G39" s="21"/>
      <c r="H39" s="22" t="str">
        <f aca="true">IF(B39="","",ROUND(F39/MAX((TODAY()-C39)/30.44,0.1)*12,0))</f>
        <v/>
      </c>
      <c r="I39" s="23" t="str">
        <f aca="false">IF(B39="","",H39-E39)</f>
        <v/>
      </c>
      <c r="J39" s="24" t="n">
        <f aca="false">IF(OR(B39="",I39="",I39&lt;=0),0,ROUND(I39*G39/100,2))</f>
        <v>0</v>
      </c>
      <c r="K39" s="24" t="n">
        <f aca="false">IF(OR(B39="",I39="",I39&gt;=0),0,ROUND(ABS(I39)*G39/100,2))</f>
        <v>0</v>
      </c>
      <c r="L39" s="25" t="str">
        <f aca="false">IF(OR(B39="",H39="",E39="",E39=0),"",ROUND(H39/E39*100,1))</f>
        <v/>
      </c>
    </row>
    <row r="40" customFormat="false" ht="15" hidden="false" customHeight="true" outlineLevel="0" collapsed="false">
      <c r="B40" s="26"/>
      <c r="C40" s="27"/>
      <c r="D40" s="27"/>
      <c r="E40" s="28"/>
      <c r="F40" s="28"/>
      <c r="G40" s="29"/>
      <c r="H40" s="30" t="str">
        <f aca="true">IF(B40="","",ROUND(F40/MAX((TODAY()-C40)/30.44,0.1)*12,0))</f>
        <v/>
      </c>
      <c r="I40" s="31" t="str">
        <f aca="false">IF(B40="","",H40-E40)</f>
        <v/>
      </c>
      <c r="J40" s="32" t="n">
        <f aca="false">IF(OR(B40="",I40="",I40&lt;=0),0,ROUND(I40*G40/100,2))</f>
        <v>0</v>
      </c>
      <c r="K40" s="32" t="n">
        <f aca="false">IF(OR(B40="",I40="",I40&gt;=0),0,ROUND(ABS(I40)*G40/100,2))</f>
        <v>0</v>
      </c>
      <c r="L40" s="33" t="str">
        <f aca="false">IF(OR(B40="",H40="",E40="",E40=0),"",ROUND(H40/E40*100,1))</f>
        <v/>
      </c>
    </row>
    <row r="41" customFormat="false" ht="15" hidden="false" customHeight="true" outlineLevel="0" collapsed="false">
      <c r="B41" s="18"/>
      <c r="C41" s="19"/>
      <c r="D41" s="19"/>
      <c r="E41" s="20"/>
      <c r="F41" s="20"/>
      <c r="G41" s="21"/>
      <c r="H41" s="22" t="str">
        <f aca="true">IF(B41="","",ROUND(F41/MAX((TODAY()-C41)/30.44,0.1)*12,0))</f>
        <v/>
      </c>
      <c r="I41" s="23" t="str">
        <f aca="false">IF(B41="","",H41-E41)</f>
        <v/>
      </c>
      <c r="J41" s="24" t="n">
        <f aca="false">IF(OR(B41="",I41="",I41&lt;=0),0,ROUND(I41*G41/100,2))</f>
        <v>0</v>
      </c>
      <c r="K41" s="24" t="n">
        <f aca="false">IF(OR(B41="",I41="",I41&gt;=0),0,ROUND(ABS(I41)*G41/100,2))</f>
        <v>0</v>
      </c>
      <c r="L41" s="25" t="str">
        <f aca="false">IF(OR(B41="",H41="",E41="",E41=0),"",ROUND(H41/E41*100,1))</f>
        <v/>
      </c>
    </row>
    <row r="42" customFormat="false" ht="15" hidden="false" customHeight="true" outlineLevel="0" collapsed="false">
      <c r="B42" s="26"/>
      <c r="C42" s="27"/>
      <c r="D42" s="27"/>
      <c r="E42" s="28"/>
      <c r="F42" s="28"/>
      <c r="G42" s="29"/>
      <c r="H42" s="30" t="str">
        <f aca="true">IF(B42="","",ROUND(F42/MAX((TODAY()-C42)/30.44,0.1)*12,0))</f>
        <v/>
      </c>
      <c r="I42" s="31" t="str">
        <f aca="false">IF(B42="","",H42-E42)</f>
        <v/>
      </c>
      <c r="J42" s="32" t="n">
        <f aca="false">IF(OR(B42="",I42="",I42&lt;=0),0,ROUND(I42*G42/100,2))</f>
        <v>0</v>
      </c>
      <c r="K42" s="32" t="n">
        <f aca="false">IF(OR(B42="",I42="",I42&gt;=0),0,ROUND(ABS(I42)*G42/100,2))</f>
        <v>0</v>
      </c>
      <c r="L42" s="33" t="str">
        <f aca="false">IF(OR(B42="",H42="",E42="",E42=0),"",ROUND(H42/E42*100,1))</f>
        <v/>
      </c>
    </row>
    <row r="43" customFormat="false" ht="15" hidden="false" customHeight="true" outlineLevel="0" collapsed="false">
      <c r="B43" s="18"/>
      <c r="C43" s="19"/>
      <c r="D43" s="19"/>
      <c r="E43" s="20"/>
      <c r="F43" s="20"/>
      <c r="G43" s="21"/>
      <c r="H43" s="22" t="str">
        <f aca="true">IF(B43="","",ROUND(F43/MAX((TODAY()-C43)/30.44,0.1)*12,0))</f>
        <v/>
      </c>
      <c r="I43" s="23" t="str">
        <f aca="false">IF(B43="","",H43-E43)</f>
        <v/>
      </c>
      <c r="J43" s="24" t="n">
        <f aca="false">IF(OR(B43="",I43="",I43&lt;=0),0,ROUND(I43*G43/100,2))</f>
        <v>0</v>
      </c>
      <c r="K43" s="24" t="n">
        <f aca="false">IF(OR(B43="",I43="",I43&gt;=0),0,ROUND(ABS(I43)*G43/100,2))</f>
        <v>0</v>
      </c>
      <c r="L43" s="25" t="str">
        <f aca="false">IF(OR(B43="",H43="",E43="",E43=0),"",ROUND(H43/E43*100,1))</f>
        <v/>
      </c>
    </row>
    <row r="44" customFormat="false" ht="15" hidden="false" customHeight="true" outlineLevel="0" collapsed="false">
      <c r="B44" s="26"/>
      <c r="C44" s="27"/>
      <c r="D44" s="27"/>
      <c r="E44" s="28"/>
      <c r="F44" s="28"/>
      <c r="G44" s="29"/>
      <c r="H44" s="30" t="str">
        <f aca="true">IF(B44="","",ROUND(F44/MAX((TODAY()-C44)/30.44,0.1)*12,0))</f>
        <v/>
      </c>
      <c r="I44" s="31" t="str">
        <f aca="false">IF(B44="","",H44-E44)</f>
        <v/>
      </c>
      <c r="J44" s="32" t="n">
        <f aca="false">IF(OR(B44="",I44="",I44&lt;=0),0,ROUND(I44*G44/100,2))</f>
        <v>0</v>
      </c>
      <c r="K44" s="32" t="n">
        <f aca="false">IF(OR(B44="",I44="",I44&gt;=0),0,ROUND(ABS(I44)*G44/100,2))</f>
        <v>0</v>
      </c>
      <c r="L44" s="33" t="str">
        <f aca="false">IF(OR(B44="",H44="",E44="",E44=0),"",ROUND(H44/E44*100,1))</f>
        <v/>
      </c>
    </row>
    <row r="45" customFormat="false" ht="15" hidden="false" customHeight="true" outlineLevel="0" collapsed="false">
      <c r="B45" s="18"/>
      <c r="C45" s="19"/>
      <c r="D45" s="19"/>
      <c r="E45" s="20"/>
      <c r="F45" s="20"/>
      <c r="G45" s="21"/>
      <c r="H45" s="22" t="str">
        <f aca="true">IF(B45="","",ROUND(F45/MAX((TODAY()-C45)/30.44,0.1)*12,0))</f>
        <v/>
      </c>
      <c r="I45" s="23" t="str">
        <f aca="false">IF(B45="","",H45-E45)</f>
        <v/>
      </c>
      <c r="J45" s="24" t="n">
        <f aca="false">IF(OR(B45="",I45="",I45&lt;=0),0,ROUND(I45*G45/100,2))</f>
        <v>0</v>
      </c>
      <c r="K45" s="24" t="n">
        <f aca="false">IF(OR(B45="",I45="",I45&gt;=0),0,ROUND(ABS(I45)*G45/100,2))</f>
        <v>0</v>
      </c>
      <c r="L45" s="25" t="str">
        <f aca="false">IF(OR(B45="",H45="",E45="",E45=0),"",ROUND(H45/E45*100,1))</f>
        <v/>
      </c>
    </row>
    <row r="46" customFormat="false" ht="15" hidden="false" customHeight="true" outlineLevel="0" collapsed="false">
      <c r="B46" s="26"/>
      <c r="C46" s="27"/>
      <c r="D46" s="27"/>
      <c r="E46" s="28"/>
      <c r="F46" s="28"/>
      <c r="G46" s="29"/>
      <c r="H46" s="30" t="str">
        <f aca="true">IF(B46="","",ROUND(F46/MAX((TODAY()-C46)/30.44,0.1)*12,0))</f>
        <v/>
      </c>
      <c r="I46" s="31" t="str">
        <f aca="false">IF(B46="","",H46-E46)</f>
        <v/>
      </c>
      <c r="J46" s="32" t="n">
        <f aca="false">IF(OR(B46="",I46="",I46&lt;=0),0,ROUND(I46*G46/100,2))</f>
        <v>0</v>
      </c>
      <c r="K46" s="32" t="n">
        <f aca="false">IF(OR(B46="",I46="",I46&gt;=0),0,ROUND(ABS(I46)*G46/100,2))</f>
        <v>0</v>
      </c>
      <c r="L46" s="33" t="str">
        <f aca="false">IF(OR(B46="",H46="",E46="",E46=0),"",ROUND(H46/E46*100,1))</f>
        <v/>
      </c>
    </row>
    <row r="47" customFormat="false" ht="15" hidden="false" customHeight="true" outlineLevel="0" collapsed="false">
      <c r="B47" s="18"/>
      <c r="C47" s="19"/>
      <c r="D47" s="19"/>
      <c r="E47" s="20"/>
      <c r="F47" s="20"/>
      <c r="G47" s="21"/>
      <c r="H47" s="22" t="str">
        <f aca="true">IF(B47="","",ROUND(F47/MAX((TODAY()-C47)/30.44,0.1)*12,0))</f>
        <v/>
      </c>
      <c r="I47" s="23" t="str">
        <f aca="false">IF(B47="","",H47-E47)</f>
        <v/>
      </c>
      <c r="J47" s="24" t="n">
        <f aca="false">IF(OR(B47="",I47="",I47&lt;=0),0,ROUND(I47*G47/100,2))</f>
        <v>0</v>
      </c>
      <c r="K47" s="24" t="n">
        <f aca="false">IF(OR(B47="",I47="",I47&gt;=0),0,ROUND(ABS(I47)*G47/100,2))</f>
        <v>0</v>
      </c>
      <c r="L47" s="25" t="str">
        <f aca="false">IF(OR(B47="",H47="",E47="",E47=0),"",ROUND(H47/E47*100,1))</f>
        <v/>
      </c>
    </row>
    <row r="48" customFormat="false" ht="15" hidden="false" customHeight="true" outlineLevel="0" collapsed="false">
      <c r="B48" s="26"/>
      <c r="C48" s="27"/>
      <c r="D48" s="27"/>
      <c r="E48" s="28"/>
      <c r="F48" s="28"/>
      <c r="G48" s="29"/>
      <c r="H48" s="30" t="str">
        <f aca="true">IF(B48="","",ROUND(F48/MAX((TODAY()-C48)/30.44,0.1)*12,0))</f>
        <v/>
      </c>
      <c r="I48" s="31" t="str">
        <f aca="false">IF(B48="","",H48-E48)</f>
        <v/>
      </c>
      <c r="J48" s="32" t="n">
        <f aca="false">IF(OR(B48="",I48="",I48&lt;=0),0,ROUND(I48*G48/100,2))</f>
        <v>0</v>
      </c>
      <c r="K48" s="32" t="n">
        <f aca="false">IF(OR(B48="",I48="",I48&gt;=0),0,ROUND(ABS(I48)*G48/100,2))</f>
        <v>0</v>
      </c>
      <c r="L48" s="33" t="str">
        <f aca="false">IF(OR(B48="",H48="",E48="",E48=0),"",ROUND(H48/E48*100,1))</f>
        <v/>
      </c>
    </row>
    <row r="49" customFormat="false" ht="15" hidden="false" customHeight="true" outlineLevel="0" collapsed="false">
      <c r="B49" s="18"/>
      <c r="C49" s="19"/>
      <c r="D49" s="19"/>
      <c r="E49" s="20"/>
      <c r="F49" s="20"/>
      <c r="G49" s="21"/>
      <c r="H49" s="22" t="str">
        <f aca="true">IF(B49="","",ROUND(F49/MAX((TODAY()-C49)/30.44,0.1)*12,0))</f>
        <v/>
      </c>
      <c r="I49" s="23" t="str">
        <f aca="false">IF(B49="","",H49-E49)</f>
        <v/>
      </c>
      <c r="J49" s="24" t="n">
        <f aca="false">IF(OR(B49="",I49="",I49&lt;=0),0,ROUND(I49*G49/100,2))</f>
        <v>0</v>
      </c>
      <c r="K49" s="24" t="n">
        <f aca="false">IF(OR(B49="",I49="",I49&gt;=0),0,ROUND(ABS(I49)*G49/100,2))</f>
        <v>0</v>
      </c>
      <c r="L49" s="25" t="str">
        <f aca="false">IF(OR(B49="",H49="",E49="",E49=0),"",ROUND(H49/E49*100,1))</f>
        <v/>
      </c>
    </row>
    <row r="50" customFormat="false" ht="15" hidden="false" customHeight="true" outlineLevel="0" collapsed="false">
      <c r="B50" s="26"/>
      <c r="C50" s="27"/>
      <c r="D50" s="27"/>
      <c r="E50" s="28"/>
      <c r="F50" s="28"/>
      <c r="G50" s="29"/>
      <c r="H50" s="30" t="str">
        <f aca="true">IF(B50="","",ROUND(F50/MAX((TODAY()-C50)/30.44,0.1)*12,0))</f>
        <v/>
      </c>
      <c r="I50" s="31" t="str">
        <f aca="false">IF(B50="","",H50-E50)</f>
        <v/>
      </c>
      <c r="J50" s="32" t="n">
        <f aca="false">IF(OR(B50="",I50="",I50&lt;=0),0,ROUND(I50*G50/100,2))</f>
        <v>0</v>
      </c>
      <c r="K50" s="32" t="n">
        <f aca="false">IF(OR(B50="",I50="",I50&gt;=0),0,ROUND(ABS(I50)*G50/100,2))</f>
        <v>0</v>
      </c>
      <c r="L50" s="33" t="str">
        <f aca="false">IF(OR(B50="",H50="",E50="",E50=0),"",ROUND(H50/E50*100,1))</f>
        <v/>
      </c>
    </row>
    <row r="51" customFormat="false" ht="15" hidden="false" customHeight="true" outlineLevel="0" collapsed="false">
      <c r="B51" s="18"/>
      <c r="C51" s="19"/>
      <c r="D51" s="19"/>
      <c r="E51" s="20"/>
      <c r="F51" s="20"/>
      <c r="G51" s="21"/>
      <c r="H51" s="22" t="str">
        <f aca="true">IF(B51="","",ROUND(F51/MAX((TODAY()-C51)/30.44,0.1)*12,0))</f>
        <v/>
      </c>
      <c r="I51" s="23" t="str">
        <f aca="false">IF(B51="","",H51-E51)</f>
        <v/>
      </c>
      <c r="J51" s="24" t="n">
        <f aca="false">IF(OR(B51="",I51="",I51&lt;=0),0,ROUND(I51*G51/100,2))</f>
        <v>0</v>
      </c>
      <c r="K51" s="24" t="n">
        <f aca="false">IF(OR(B51="",I51="",I51&gt;=0),0,ROUND(ABS(I51)*G51/100,2))</f>
        <v>0</v>
      </c>
      <c r="L51" s="25" t="str">
        <f aca="false">IF(OR(B51="",H51="",E51="",E51=0),"",ROUND(H51/E51*100,1))</f>
        <v/>
      </c>
    </row>
    <row r="52" customFormat="false" ht="15" hidden="false" customHeight="true" outlineLevel="0" collapsed="false">
      <c r="B52" s="26"/>
      <c r="C52" s="27"/>
      <c r="D52" s="27"/>
      <c r="E52" s="28"/>
      <c r="F52" s="28"/>
      <c r="G52" s="29"/>
      <c r="H52" s="30" t="str">
        <f aca="true">IF(B52="","",ROUND(F52/MAX((TODAY()-C52)/30.44,0.1)*12,0))</f>
        <v/>
      </c>
      <c r="I52" s="31" t="str">
        <f aca="false">IF(B52="","",H52-E52)</f>
        <v/>
      </c>
      <c r="J52" s="32" t="n">
        <f aca="false">IF(OR(B52="",I52="",I52&lt;=0),0,ROUND(I52*G52/100,2))</f>
        <v>0</v>
      </c>
      <c r="K52" s="32" t="n">
        <f aca="false">IF(OR(B52="",I52="",I52&gt;=0),0,ROUND(ABS(I52)*G52/100,2))</f>
        <v>0</v>
      </c>
      <c r="L52" s="33" t="str">
        <f aca="false">IF(OR(B52="",H52="",E52="",E52=0),"",ROUND(H52/E52*100,1))</f>
        <v/>
      </c>
    </row>
    <row r="53" customFormat="false" ht="15" hidden="false" customHeight="true" outlineLevel="0" collapsed="false">
      <c r="B53" s="18"/>
      <c r="C53" s="19"/>
      <c r="D53" s="19"/>
      <c r="E53" s="20"/>
      <c r="F53" s="20"/>
      <c r="G53" s="21"/>
      <c r="H53" s="22" t="str">
        <f aca="true">IF(B53="","",ROUND(F53/MAX((TODAY()-C53)/30.44,0.1)*12,0))</f>
        <v/>
      </c>
      <c r="I53" s="23" t="str">
        <f aca="false">IF(B53="","",H53-E53)</f>
        <v/>
      </c>
      <c r="J53" s="24" t="n">
        <f aca="false">IF(OR(B53="",I53="",I53&lt;=0),0,ROUND(I53*G53/100,2))</f>
        <v>0</v>
      </c>
      <c r="K53" s="24" t="n">
        <f aca="false">IF(OR(B53="",I53="",I53&gt;=0),0,ROUND(ABS(I53)*G53/100,2))</f>
        <v>0</v>
      </c>
      <c r="L53" s="25" t="str">
        <f aca="false">IF(OR(B53="",H53="",E53="",E53=0),"",ROUND(H53/E53*100,1))</f>
        <v/>
      </c>
    </row>
    <row r="54" customFormat="false" ht="15" hidden="false" customHeight="true" outlineLevel="0" collapsed="false">
      <c r="B54" s="26"/>
      <c r="C54" s="27"/>
      <c r="D54" s="27"/>
      <c r="E54" s="28"/>
      <c r="F54" s="28"/>
      <c r="G54" s="29"/>
      <c r="H54" s="30" t="str">
        <f aca="true">IF(B54="","",ROUND(F54/MAX((TODAY()-C54)/30.44,0.1)*12,0))</f>
        <v/>
      </c>
      <c r="I54" s="31" t="str">
        <f aca="false">IF(B54="","",H54-E54)</f>
        <v/>
      </c>
      <c r="J54" s="32" t="n">
        <f aca="false">IF(OR(B54="",I54="",I54&lt;=0),0,ROUND(I54*G54/100,2))</f>
        <v>0</v>
      </c>
      <c r="K54" s="32" t="n">
        <f aca="false">IF(OR(B54="",I54="",I54&gt;=0),0,ROUND(ABS(I54)*G54/100,2))</f>
        <v>0</v>
      </c>
      <c r="L54" s="33" t="str">
        <f aca="false">IF(OR(B54="",H54="",E54="",E54=0),"",ROUND(H54/E54*100,1))</f>
        <v/>
      </c>
    </row>
    <row r="55" customFormat="false" ht="15" hidden="false" customHeight="true" outlineLevel="0" collapsed="false">
      <c r="B55" s="18"/>
      <c r="C55" s="19"/>
      <c r="D55" s="19"/>
      <c r="E55" s="20"/>
      <c r="F55" s="20"/>
      <c r="G55" s="21"/>
      <c r="H55" s="22" t="str">
        <f aca="true">IF(B55="","",ROUND(F55/MAX((TODAY()-C55)/30.44,0.1)*12,0))</f>
        <v/>
      </c>
      <c r="I55" s="23" t="str">
        <f aca="false">IF(B55="","",H55-E55)</f>
        <v/>
      </c>
      <c r="J55" s="24" t="n">
        <f aca="false">IF(OR(B55="",I55="",I55&lt;=0),0,ROUND(I55*G55/100,2))</f>
        <v>0</v>
      </c>
      <c r="K55" s="24" t="n">
        <f aca="false">IF(OR(B55="",I55="",I55&gt;=0),0,ROUND(ABS(I55)*G55/100,2))</f>
        <v>0</v>
      </c>
      <c r="L55" s="25" t="str">
        <f aca="false">IF(OR(B55="",H55="",E55="",E55=0),"",ROUND(H55/E55*100,1))</f>
        <v/>
      </c>
    </row>
    <row r="56" customFormat="false" ht="15" hidden="false" customHeight="true" outlineLevel="0" collapsed="false">
      <c r="B56" s="26"/>
      <c r="C56" s="27"/>
      <c r="D56" s="27"/>
      <c r="E56" s="28"/>
      <c r="F56" s="28"/>
      <c r="G56" s="29"/>
      <c r="H56" s="30" t="str">
        <f aca="true">IF(B56="","",ROUND(F56/MAX((TODAY()-C56)/30.44,0.1)*12,0))</f>
        <v/>
      </c>
      <c r="I56" s="31" t="str">
        <f aca="false">IF(B56="","",H56-E56)</f>
        <v/>
      </c>
      <c r="J56" s="32" t="n">
        <f aca="false">IF(OR(B56="",I56="",I56&lt;=0),0,ROUND(I56*G56/100,2))</f>
        <v>0</v>
      </c>
      <c r="K56" s="32" t="n">
        <f aca="false">IF(OR(B56="",I56="",I56&gt;=0),0,ROUND(ABS(I56)*G56/100,2))</f>
        <v>0</v>
      </c>
      <c r="L56" s="33" t="str">
        <f aca="false">IF(OR(B56="",H56="",E56="",E56=0),"",ROUND(H56/E56*100,1))</f>
        <v/>
      </c>
    </row>
    <row r="57" customFormat="false" ht="15" hidden="false" customHeight="true" outlineLevel="0" collapsed="false">
      <c r="B57" s="18"/>
      <c r="C57" s="19"/>
      <c r="D57" s="19"/>
      <c r="E57" s="20"/>
      <c r="F57" s="20"/>
      <c r="G57" s="21"/>
      <c r="H57" s="22" t="str">
        <f aca="true">IF(B57="","",ROUND(F57/MAX((TODAY()-C57)/30.44,0.1)*12,0))</f>
        <v/>
      </c>
      <c r="I57" s="23" t="str">
        <f aca="false">IF(B57="","",H57-E57)</f>
        <v/>
      </c>
      <c r="J57" s="24" t="n">
        <f aca="false">IF(OR(B57="",I57="",I57&lt;=0),0,ROUND(I57*G57/100,2))</f>
        <v>0</v>
      </c>
      <c r="K57" s="24" t="n">
        <f aca="false">IF(OR(B57="",I57="",I57&gt;=0),0,ROUND(ABS(I57)*G57/100,2))</f>
        <v>0</v>
      </c>
      <c r="L57" s="25" t="str">
        <f aca="false">IF(OR(B57="",H57="",E57="",E57=0),"",ROUND(H57/E57*100,1))</f>
        <v/>
      </c>
    </row>
    <row r="58" customFormat="false" ht="15" hidden="false" customHeight="true" outlineLevel="0" collapsed="false">
      <c r="B58" s="26"/>
      <c r="C58" s="27"/>
      <c r="D58" s="27"/>
      <c r="E58" s="28"/>
      <c r="F58" s="28"/>
      <c r="G58" s="29"/>
      <c r="H58" s="30" t="str">
        <f aca="true">IF(B58="","",ROUND(F58/MAX((TODAY()-C58)/30.44,0.1)*12,0))</f>
        <v/>
      </c>
      <c r="I58" s="31" t="str">
        <f aca="false">IF(B58="","",H58-E58)</f>
        <v/>
      </c>
      <c r="J58" s="32" t="n">
        <f aca="false">IF(OR(B58="",I58="",I58&lt;=0),0,ROUND(I58*G58/100,2))</f>
        <v>0</v>
      </c>
      <c r="K58" s="32" t="n">
        <f aca="false">IF(OR(B58="",I58="",I58&gt;=0),0,ROUND(ABS(I58)*G58/100,2))</f>
        <v>0</v>
      </c>
      <c r="L58" s="33" t="str">
        <f aca="false">IF(OR(B58="",H58="",E58="",E58=0),"",ROUND(H58/E58*100,1))</f>
        <v/>
      </c>
    </row>
    <row r="59" customFormat="false" ht="15" hidden="false" customHeight="true" outlineLevel="0" collapsed="false">
      <c r="B59" s="18"/>
      <c r="C59" s="19"/>
      <c r="D59" s="19"/>
      <c r="E59" s="20"/>
      <c r="F59" s="20"/>
      <c r="G59" s="21"/>
      <c r="H59" s="22" t="str">
        <f aca="true">IF(B59="","",ROUND(F59/MAX((TODAY()-C59)/30.44,0.1)*12,0))</f>
        <v/>
      </c>
      <c r="I59" s="23" t="str">
        <f aca="false">IF(B59="","",H59-E59)</f>
        <v/>
      </c>
      <c r="J59" s="24" t="n">
        <f aca="false">IF(OR(B59="",I59="",I59&lt;=0),0,ROUND(I59*G59/100,2))</f>
        <v>0</v>
      </c>
      <c r="K59" s="24" t="n">
        <f aca="false">IF(OR(B59="",I59="",I59&gt;=0),0,ROUND(ABS(I59)*G59/100,2))</f>
        <v>0</v>
      </c>
      <c r="L59" s="25" t="str">
        <f aca="false">IF(OR(B59="",H59="",E59="",E59=0),"",ROUND(H59/E59*100,1))</f>
        <v/>
      </c>
    </row>
    <row r="60" customFormat="false" ht="15" hidden="false" customHeight="true" outlineLevel="0" collapsed="false">
      <c r="B60" s="26"/>
      <c r="C60" s="27"/>
      <c r="D60" s="27"/>
      <c r="E60" s="28"/>
      <c r="F60" s="28"/>
      <c r="G60" s="29"/>
      <c r="H60" s="30" t="str">
        <f aca="true">IF(B60="","",ROUND(F60/MAX((TODAY()-C60)/30.44,0.1)*12,0))</f>
        <v/>
      </c>
      <c r="I60" s="31" t="str">
        <f aca="false">IF(B60="","",H60-E60)</f>
        <v/>
      </c>
      <c r="J60" s="32" t="n">
        <f aca="false">IF(OR(B60="",I60="",I60&lt;=0),0,ROUND(I60*G60/100,2))</f>
        <v>0</v>
      </c>
      <c r="K60" s="32" t="n">
        <f aca="false">IF(OR(B60="",I60="",I60&gt;=0),0,ROUND(ABS(I60)*G60/100,2))</f>
        <v>0</v>
      </c>
      <c r="L60" s="33" t="str">
        <f aca="false">IF(OR(B60="",H60="",E60="",E60=0),"",ROUND(H60/E60*100,1))</f>
        <v/>
      </c>
    </row>
    <row r="61" customFormat="false" ht="15" hidden="false" customHeight="true" outlineLevel="0" collapsed="false">
      <c r="B61" s="18"/>
      <c r="C61" s="19"/>
      <c r="D61" s="19"/>
      <c r="E61" s="20"/>
      <c r="F61" s="20"/>
      <c r="G61" s="21"/>
      <c r="H61" s="22" t="str">
        <f aca="true">IF(B61="","",ROUND(F61/MAX((TODAY()-C61)/30.44,0.1)*12,0))</f>
        <v/>
      </c>
      <c r="I61" s="23" t="str">
        <f aca="false">IF(B61="","",H61-E61)</f>
        <v/>
      </c>
      <c r="J61" s="24" t="n">
        <f aca="false">IF(OR(B61="",I61="",I61&lt;=0),0,ROUND(I61*G61/100,2))</f>
        <v>0</v>
      </c>
      <c r="K61" s="24" t="n">
        <f aca="false">IF(OR(B61="",I61="",I61&gt;=0),0,ROUND(ABS(I61)*G61/100,2))</f>
        <v>0</v>
      </c>
      <c r="L61" s="25" t="str">
        <f aca="false">IF(OR(B61="",H61="",E61="",E61=0),"",ROUND(H61/E61*100,1))</f>
        <v/>
      </c>
    </row>
    <row r="62" customFormat="false" ht="15" hidden="false" customHeight="true" outlineLevel="0" collapsed="false">
      <c r="B62" s="26"/>
      <c r="C62" s="27"/>
      <c r="D62" s="27"/>
      <c r="E62" s="28"/>
      <c r="F62" s="28"/>
      <c r="G62" s="29"/>
      <c r="H62" s="30" t="str">
        <f aca="true">IF(B62="","",ROUND(F62/MAX((TODAY()-C62)/30.44,0.1)*12,0))</f>
        <v/>
      </c>
      <c r="I62" s="31" t="str">
        <f aca="false">IF(B62="","",H62-E62)</f>
        <v/>
      </c>
      <c r="J62" s="32" t="n">
        <f aca="false">IF(OR(B62="",I62="",I62&lt;=0),0,ROUND(I62*G62/100,2))</f>
        <v>0</v>
      </c>
      <c r="K62" s="32" t="n">
        <f aca="false">IF(OR(B62="",I62="",I62&gt;=0),0,ROUND(ABS(I62)*G62/100,2))</f>
        <v>0</v>
      </c>
      <c r="L62" s="33" t="str">
        <f aca="false">IF(OR(B62="",H62="",E62="",E62=0),"",ROUND(H62/E62*100,1))</f>
        <v/>
      </c>
    </row>
    <row r="63" customFormat="false" ht="15" hidden="false" customHeight="true" outlineLevel="0" collapsed="false">
      <c r="B63" s="18"/>
      <c r="C63" s="19"/>
      <c r="D63" s="19"/>
      <c r="E63" s="20"/>
      <c r="F63" s="20"/>
      <c r="G63" s="21"/>
      <c r="H63" s="22" t="str">
        <f aca="true">IF(B63="","",ROUND(F63/MAX((TODAY()-C63)/30.44,0.1)*12,0))</f>
        <v/>
      </c>
      <c r="I63" s="23" t="str">
        <f aca="false">IF(B63="","",H63-E63)</f>
        <v/>
      </c>
      <c r="J63" s="24" t="n">
        <f aca="false">IF(OR(B63="",I63="",I63&lt;=0),0,ROUND(I63*G63/100,2))</f>
        <v>0</v>
      </c>
      <c r="K63" s="24" t="n">
        <f aca="false">IF(OR(B63="",I63="",I63&gt;=0),0,ROUND(ABS(I63)*G63/100,2))</f>
        <v>0</v>
      </c>
      <c r="L63" s="25" t="str">
        <f aca="false">IF(OR(B63="",H63="",E63="",E63=0),"",ROUND(H63/E63*100,1))</f>
        <v/>
      </c>
    </row>
    <row r="64" customFormat="false" ht="15" hidden="false" customHeight="true" outlineLevel="0" collapsed="false">
      <c r="B64" s="26"/>
      <c r="C64" s="27"/>
      <c r="D64" s="27"/>
      <c r="E64" s="28"/>
      <c r="F64" s="28"/>
      <c r="G64" s="29"/>
      <c r="H64" s="30" t="str">
        <f aca="true">IF(B64="","",ROUND(F64/MAX((TODAY()-C64)/30.44,0.1)*12,0))</f>
        <v/>
      </c>
      <c r="I64" s="31" t="str">
        <f aca="false">IF(B64="","",H64-E64)</f>
        <v/>
      </c>
      <c r="J64" s="32" t="n">
        <f aca="false">IF(OR(B64="",I64="",I64&lt;=0),0,ROUND(I64*G64/100,2))</f>
        <v>0</v>
      </c>
      <c r="K64" s="32" t="n">
        <f aca="false">IF(OR(B64="",I64="",I64&gt;=0),0,ROUND(ABS(I64)*G64/100,2))</f>
        <v>0</v>
      </c>
      <c r="L64" s="33" t="str">
        <f aca="false">IF(OR(B64="",H64="",E64="",E64=0),"",ROUND(H64/E64*100,1))</f>
        <v/>
      </c>
    </row>
    <row r="65" customFormat="false" ht="15" hidden="false" customHeight="true" outlineLevel="0" collapsed="false">
      <c r="B65" s="18"/>
      <c r="C65" s="19"/>
      <c r="D65" s="19"/>
      <c r="E65" s="20"/>
      <c r="F65" s="20"/>
      <c r="G65" s="21"/>
      <c r="H65" s="22" t="str">
        <f aca="true">IF(B65="","",ROUND(F65/MAX((TODAY()-C65)/30.44,0.1)*12,0))</f>
        <v/>
      </c>
      <c r="I65" s="23" t="str">
        <f aca="false">IF(B65="","",H65-E65)</f>
        <v/>
      </c>
      <c r="J65" s="24" t="n">
        <f aca="false">IF(OR(B65="",I65="",I65&lt;=0),0,ROUND(I65*G65/100,2))</f>
        <v>0</v>
      </c>
      <c r="K65" s="24" t="n">
        <f aca="false">IF(OR(B65="",I65="",I65&gt;=0),0,ROUND(ABS(I65)*G65/100,2))</f>
        <v>0</v>
      </c>
      <c r="L65" s="25" t="str">
        <f aca="false">IF(OR(B65="",H65="",E65="",E65=0),"",ROUND(H65/E65*100,1))</f>
        <v/>
      </c>
    </row>
    <row r="66" customFormat="false" ht="15" hidden="false" customHeight="true" outlineLevel="0" collapsed="false">
      <c r="B66" s="26"/>
      <c r="C66" s="27"/>
      <c r="D66" s="27"/>
      <c r="E66" s="28"/>
      <c r="F66" s="28"/>
      <c r="G66" s="29"/>
      <c r="H66" s="30" t="str">
        <f aca="true">IF(B66="","",ROUND(F66/MAX((TODAY()-C66)/30.44,0.1)*12,0))</f>
        <v/>
      </c>
      <c r="I66" s="31" t="str">
        <f aca="false">IF(B66="","",H66-E66)</f>
        <v/>
      </c>
      <c r="J66" s="32" t="n">
        <f aca="false">IF(OR(B66="",I66="",I66&lt;=0),0,ROUND(I66*G66/100,2))</f>
        <v>0</v>
      </c>
      <c r="K66" s="32" t="n">
        <f aca="false">IF(OR(B66="",I66="",I66&gt;=0),0,ROUND(ABS(I66)*G66/100,2))</f>
        <v>0</v>
      </c>
      <c r="L66" s="33" t="str">
        <f aca="false">IF(OR(B66="",H66="",E66="",E66=0),"",ROUND(H66/E66*100,1))</f>
        <v/>
      </c>
    </row>
    <row r="67" customFormat="false" ht="15" hidden="false" customHeight="true" outlineLevel="0" collapsed="false">
      <c r="B67" s="18"/>
      <c r="C67" s="19"/>
      <c r="D67" s="19"/>
      <c r="E67" s="20"/>
      <c r="F67" s="20"/>
      <c r="G67" s="21"/>
      <c r="H67" s="22" t="str">
        <f aca="true">IF(B67="","",ROUND(F67/MAX((TODAY()-C67)/30.44,0.1)*12,0))</f>
        <v/>
      </c>
      <c r="I67" s="23" t="str">
        <f aca="false">IF(B67="","",H67-E67)</f>
        <v/>
      </c>
      <c r="J67" s="24" t="n">
        <f aca="false">IF(OR(B67="",I67="",I67&lt;=0),0,ROUND(I67*G67/100,2))</f>
        <v>0</v>
      </c>
      <c r="K67" s="24" t="n">
        <f aca="false">IF(OR(B67="",I67="",I67&gt;=0),0,ROUND(ABS(I67)*G67/100,2))</f>
        <v>0</v>
      </c>
      <c r="L67" s="25" t="str">
        <f aca="false">IF(OR(B67="",H67="",E67="",E67=0),"",ROUND(H67/E67*100,1))</f>
        <v/>
      </c>
    </row>
    <row r="68" customFormat="false" ht="15" hidden="false" customHeight="true" outlineLevel="0" collapsed="false">
      <c r="B68" s="26"/>
      <c r="C68" s="27"/>
      <c r="D68" s="27"/>
      <c r="E68" s="28"/>
      <c r="F68" s="28"/>
      <c r="G68" s="29"/>
      <c r="H68" s="30" t="str">
        <f aca="true">IF(B68="","",ROUND(F68/MAX((TODAY()-C68)/30.44,0.1)*12,0))</f>
        <v/>
      </c>
      <c r="I68" s="31" t="str">
        <f aca="false">IF(B68="","",H68-E68)</f>
        <v/>
      </c>
      <c r="J68" s="32" t="n">
        <f aca="false">IF(OR(B68="",I68="",I68&lt;=0),0,ROUND(I68*G68/100,2))</f>
        <v>0</v>
      </c>
      <c r="K68" s="32" t="n">
        <f aca="false">IF(OR(B68="",I68="",I68&gt;=0),0,ROUND(ABS(I68)*G68/100,2))</f>
        <v>0</v>
      </c>
      <c r="L68" s="33" t="str">
        <f aca="false">IF(OR(B68="",H68="",E68="",E68=0),"",ROUND(H68/E68*100,1))</f>
        <v/>
      </c>
    </row>
    <row r="69" customFormat="false" ht="15" hidden="false" customHeight="true" outlineLevel="0" collapsed="false">
      <c r="B69" s="18"/>
      <c r="C69" s="19"/>
      <c r="D69" s="19"/>
      <c r="E69" s="20"/>
      <c r="F69" s="20"/>
      <c r="G69" s="21"/>
      <c r="H69" s="22" t="str">
        <f aca="true">IF(B69="","",ROUND(F69/MAX((TODAY()-C69)/30.44,0.1)*12,0))</f>
        <v/>
      </c>
      <c r="I69" s="23" t="str">
        <f aca="false">IF(B69="","",H69-E69)</f>
        <v/>
      </c>
      <c r="J69" s="24" t="n">
        <f aca="false">IF(OR(B69="",I69="",I69&lt;=0),0,ROUND(I69*G69/100,2))</f>
        <v>0</v>
      </c>
      <c r="K69" s="24" t="n">
        <f aca="false">IF(OR(B69="",I69="",I69&gt;=0),0,ROUND(ABS(I69)*G69/100,2))</f>
        <v>0</v>
      </c>
      <c r="L69" s="25" t="str">
        <f aca="false">IF(OR(B69="",H69="",E69="",E69=0),"",ROUND(H69/E69*100,1))</f>
        <v/>
      </c>
    </row>
    <row r="70" customFormat="false" ht="15" hidden="false" customHeight="true" outlineLevel="0" collapsed="false">
      <c r="B70" s="26"/>
      <c r="C70" s="27"/>
      <c r="D70" s="27"/>
      <c r="E70" s="28"/>
      <c r="F70" s="28"/>
      <c r="G70" s="29"/>
      <c r="H70" s="30" t="str">
        <f aca="true">IF(B70="","",ROUND(F70/MAX((TODAY()-C70)/30.44,0.1)*12,0))</f>
        <v/>
      </c>
      <c r="I70" s="31" t="str">
        <f aca="false">IF(B70="","",H70-E70)</f>
        <v/>
      </c>
      <c r="J70" s="32" t="n">
        <f aca="false">IF(OR(B70="",I70="",I70&lt;=0),0,ROUND(I70*G70/100,2))</f>
        <v>0</v>
      </c>
      <c r="K70" s="32" t="n">
        <f aca="false">IF(OR(B70="",I70="",I70&gt;=0),0,ROUND(ABS(I70)*G70/100,2))</f>
        <v>0</v>
      </c>
      <c r="L70" s="33" t="str">
        <f aca="false">IF(OR(B70="",H70="",E70="",E70=0),"",ROUND(H70/E70*100,1))</f>
        <v/>
      </c>
    </row>
    <row r="71" customFormat="false" ht="15" hidden="false" customHeight="true" outlineLevel="0" collapsed="false">
      <c r="B71" s="18"/>
      <c r="C71" s="19"/>
      <c r="D71" s="19"/>
      <c r="E71" s="20"/>
      <c r="F71" s="20"/>
      <c r="G71" s="21"/>
      <c r="H71" s="22" t="str">
        <f aca="true">IF(B71="","",ROUND(F71/MAX((TODAY()-C71)/30.44,0.1)*12,0))</f>
        <v/>
      </c>
      <c r="I71" s="23" t="str">
        <f aca="false">IF(B71="","",H71-E71)</f>
        <v/>
      </c>
      <c r="J71" s="24" t="n">
        <f aca="false">IF(OR(B71="",I71="",I71&lt;=0),0,ROUND(I71*G71/100,2))</f>
        <v>0</v>
      </c>
      <c r="K71" s="24" t="n">
        <f aca="false">IF(OR(B71="",I71="",I71&gt;=0),0,ROUND(ABS(I71)*G71/100,2))</f>
        <v>0</v>
      </c>
      <c r="L71" s="25" t="str">
        <f aca="false">IF(OR(B71="",H71="",E71="",E71=0),"",ROUND(H71/E71*100,1))</f>
        <v/>
      </c>
    </row>
    <row r="72" customFormat="false" ht="15" hidden="false" customHeight="true" outlineLevel="0" collapsed="false">
      <c r="B72" s="26"/>
      <c r="C72" s="27"/>
      <c r="D72" s="27"/>
      <c r="E72" s="28"/>
      <c r="F72" s="28"/>
      <c r="G72" s="29"/>
      <c r="H72" s="30" t="str">
        <f aca="true">IF(B72="","",ROUND(F72/MAX((TODAY()-C72)/30.44,0.1)*12,0))</f>
        <v/>
      </c>
      <c r="I72" s="31" t="str">
        <f aca="false">IF(B72="","",H72-E72)</f>
        <v/>
      </c>
      <c r="J72" s="32" t="n">
        <f aca="false">IF(OR(B72="",I72="",I72&lt;=0),0,ROUND(I72*G72/100,2))</f>
        <v>0</v>
      </c>
      <c r="K72" s="32" t="n">
        <f aca="false">IF(OR(B72="",I72="",I72&gt;=0),0,ROUND(ABS(I72)*G72/100,2))</f>
        <v>0</v>
      </c>
      <c r="L72" s="33" t="str">
        <f aca="false">IF(OR(B72="",H72="",E72="",E72=0),"",ROUND(H72/E72*100,1))</f>
        <v/>
      </c>
    </row>
    <row r="73" customFormat="false" ht="15" hidden="false" customHeight="true" outlineLevel="0" collapsed="false">
      <c r="B73" s="18"/>
      <c r="C73" s="19"/>
      <c r="D73" s="19"/>
      <c r="E73" s="20"/>
      <c r="F73" s="20"/>
      <c r="G73" s="21"/>
      <c r="H73" s="22" t="str">
        <f aca="true">IF(B73="","",ROUND(F73/MAX((TODAY()-C73)/30.44,0.1)*12,0))</f>
        <v/>
      </c>
      <c r="I73" s="23" t="str">
        <f aca="false">IF(B73="","",H73-E73)</f>
        <v/>
      </c>
      <c r="J73" s="24" t="n">
        <f aca="false">IF(OR(B73="",I73="",I73&lt;=0),0,ROUND(I73*G73/100,2))</f>
        <v>0</v>
      </c>
      <c r="K73" s="24" t="n">
        <f aca="false">IF(OR(B73="",I73="",I73&gt;=0),0,ROUND(ABS(I73)*G73/100,2))</f>
        <v>0</v>
      </c>
      <c r="L73" s="25" t="str">
        <f aca="false">IF(OR(B73="",H73="",E73="",E73=0),"",ROUND(H73/E73*100,1))</f>
        <v/>
      </c>
    </row>
    <row r="74" customFormat="false" ht="15" hidden="false" customHeight="true" outlineLevel="0" collapsed="false">
      <c r="B74" s="26"/>
      <c r="C74" s="27"/>
      <c r="D74" s="27"/>
      <c r="E74" s="28"/>
      <c r="F74" s="28"/>
      <c r="G74" s="29"/>
      <c r="H74" s="30" t="str">
        <f aca="true">IF(B74="","",ROUND(F74/MAX((TODAY()-C74)/30.44,0.1)*12,0))</f>
        <v/>
      </c>
      <c r="I74" s="31" t="str">
        <f aca="false">IF(B74="","",H74-E74)</f>
        <v/>
      </c>
      <c r="J74" s="32" t="n">
        <f aca="false">IF(OR(B74="",I74="",I74&lt;=0),0,ROUND(I74*G74/100,2))</f>
        <v>0</v>
      </c>
      <c r="K74" s="32" t="n">
        <f aca="false">IF(OR(B74="",I74="",I74&gt;=0),0,ROUND(ABS(I74)*G74/100,2))</f>
        <v>0</v>
      </c>
      <c r="L74" s="33" t="str">
        <f aca="false">IF(OR(B74="",H74="",E74="",E74=0),"",ROUND(H74/E74*100,1))</f>
        <v/>
      </c>
    </row>
    <row r="75" customFormat="false" ht="15" hidden="false" customHeight="true" outlineLevel="0" collapsed="false">
      <c r="B75" s="18"/>
      <c r="C75" s="19"/>
      <c r="D75" s="19"/>
      <c r="E75" s="20"/>
      <c r="F75" s="20"/>
      <c r="G75" s="21"/>
      <c r="H75" s="22" t="str">
        <f aca="true">IF(B75="","",ROUND(F75/MAX((TODAY()-C75)/30.44,0.1)*12,0))</f>
        <v/>
      </c>
      <c r="I75" s="23" t="str">
        <f aca="false">IF(B75="","",H75-E75)</f>
        <v/>
      </c>
      <c r="J75" s="24" t="n">
        <f aca="false">IF(OR(B75="",I75="",I75&lt;=0),0,ROUND(I75*G75/100,2))</f>
        <v>0</v>
      </c>
      <c r="K75" s="24" t="n">
        <f aca="false">IF(OR(B75="",I75="",I75&gt;=0),0,ROUND(ABS(I75)*G75/100,2))</f>
        <v>0</v>
      </c>
      <c r="L75" s="25" t="str">
        <f aca="false">IF(OR(B75="",H75="",E75="",E75=0),"",ROUND(H75/E75*100,1))</f>
        <v/>
      </c>
    </row>
    <row r="76" customFormat="false" ht="15" hidden="false" customHeight="true" outlineLevel="0" collapsed="false">
      <c r="B76" s="26"/>
      <c r="C76" s="27"/>
      <c r="D76" s="27"/>
      <c r="E76" s="28"/>
      <c r="F76" s="28"/>
      <c r="G76" s="29"/>
      <c r="H76" s="30" t="str">
        <f aca="true">IF(B76="","",ROUND(F76/MAX((TODAY()-C76)/30.44,0.1)*12,0))</f>
        <v/>
      </c>
      <c r="I76" s="31" t="str">
        <f aca="false">IF(B76="","",H76-E76)</f>
        <v/>
      </c>
      <c r="J76" s="32" t="n">
        <f aca="false">IF(OR(B76="",I76="",I76&lt;=0),0,ROUND(I76*G76/100,2))</f>
        <v>0</v>
      </c>
      <c r="K76" s="32" t="n">
        <f aca="false">IF(OR(B76="",I76="",I76&gt;=0),0,ROUND(ABS(I76)*G76/100,2))</f>
        <v>0</v>
      </c>
      <c r="L76" s="33" t="str">
        <f aca="false">IF(OR(B76="",H76="",E76="",E76=0),"",ROUND(H76/E76*100,1))</f>
        <v/>
      </c>
    </row>
    <row r="77" customFormat="false" ht="15" hidden="false" customHeight="true" outlineLevel="0" collapsed="false">
      <c r="B77" s="18"/>
      <c r="C77" s="19"/>
      <c r="D77" s="19"/>
      <c r="E77" s="20"/>
      <c r="F77" s="20"/>
      <c r="G77" s="21"/>
      <c r="H77" s="22" t="str">
        <f aca="true">IF(B77="","",ROUND(F77/MAX((TODAY()-C77)/30.44,0.1)*12,0))</f>
        <v/>
      </c>
      <c r="I77" s="23" t="str">
        <f aca="false">IF(B77="","",H77-E77)</f>
        <v/>
      </c>
      <c r="J77" s="24" t="n">
        <f aca="false">IF(OR(B77="",I77="",I77&lt;=0),0,ROUND(I77*G77/100,2))</f>
        <v>0</v>
      </c>
      <c r="K77" s="24" t="n">
        <f aca="false">IF(OR(B77="",I77="",I77&gt;=0),0,ROUND(ABS(I77)*G77/100,2))</f>
        <v>0</v>
      </c>
      <c r="L77" s="25" t="str">
        <f aca="false">IF(OR(B77="",H77="",E77="",E77=0),"",ROUND(H77/E77*100,1))</f>
        <v/>
      </c>
    </row>
    <row r="78" customFormat="false" ht="15" hidden="false" customHeight="true" outlineLevel="0" collapsed="false">
      <c r="B78" s="26"/>
      <c r="C78" s="27"/>
      <c r="D78" s="27"/>
      <c r="E78" s="28"/>
      <c r="F78" s="28"/>
      <c r="G78" s="29"/>
      <c r="H78" s="30" t="str">
        <f aca="true">IF(B78="","",ROUND(F78/MAX((TODAY()-C78)/30.44,0.1)*12,0))</f>
        <v/>
      </c>
      <c r="I78" s="31" t="str">
        <f aca="false">IF(B78="","",H78-E78)</f>
        <v/>
      </c>
      <c r="J78" s="32" t="n">
        <f aca="false">IF(OR(B78="",I78="",I78&lt;=0),0,ROUND(I78*G78/100,2))</f>
        <v>0</v>
      </c>
      <c r="K78" s="32" t="n">
        <f aca="false">IF(OR(B78="",I78="",I78&gt;=0),0,ROUND(ABS(I78)*G78/100,2))</f>
        <v>0</v>
      </c>
      <c r="L78" s="33" t="str">
        <f aca="false">IF(OR(B78="",H78="",E78="",E78=0),"",ROUND(H78/E78*100,1))</f>
        <v/>
      </c>
    </row>
    <row r="79" customFormat="false" ht="15" hidden="false" customHeight="true" outlineLevel="0" collapsed="false">
      <c r="B79" s="18"/>
      <c r="C79" s="19"/>
      <c r="D79" s="19"/>
      <c r="E79" s="20"/>
      <c r="F79" s="20"/>
      <c r="G79" s="21"/>
      <c r="H79" s="22" t="str">
        <f aca="true">IF(B79="","",ROUND(F79/MAX((TODAY()-C79)/30.44,0.1)*12,0))</f>
        <v/>
      </c>
      <c r="I79" s="23" t="str">
        <f aca="false">IF(B79="","",H79-E79)</f>
        <v/>
      </c>
      <c r="J79" s="24" t="n">
        <f aca="false">IF(OR(B79="",I79="",I79&lt;=0),0,ROUND(I79*G79/100,2))</f>
        <v>0</v>
      </c>
      <c r="K79" s="24" t="n">
        <f aca="false">IF(OR(B79="",I79="",I79&gt;=0),0,ROUND(ABS(I79)*G79/100,2))</f>
        <v>0</v>
      </c>
      <c r="L79" s="25" t="str">
        <f aca="false">IF(OR(B79="",H79="",E79="",E79=0),"",ROUND(H79/E79*100,1))</f>
        <v/>
      </c>
    </row>
    <row r="80" customFormat="false" ht="15" hidden="false" customHeight="true" outlineLevel="0" collapsed="false">
      <c r="B80" s="26"/>
      <c r="C80" s="27"/>
      <c r="D80" s="27"/>
      <c r="E80" s="28"/>
      <c r="F80" s="28"/>
      <c r="G80" s="29"/>
      <c r="H80" s="30" t="str">
        <f aca="true">IF(B80="","",ROUND(F80/MAX((TODAY()-C80)/30.44,0.1)*12,0))</f>
        <v/>
      </c>
      <c r="I80" s="31" t="str">
        <f aca="false">IF(B80="","",H80-E80)</f>
        <v/>
      </c>
      <c r="J80" s="32" t="n">
        <f aca="false">IF(OR(B80="",I80="",I80&lt;=0),0,ROUND(I80*G80/100,2))</f>
        <v>0</v>
      </c>
      <c r="K80" s="32" t="n">
        <f aca="false">IF(OR(B80="",I80="",I80&gt;=0),0,ROUND(ABS(I80)*G80/100,2))</f>
        <v>0</v>
      </c>
      <c r="L80" s="33" t="str">
        <f aca="false">IF(OR(B80="",H80="",E80="",E80=0),"",ROUND(H80/E80*100,1))</f>
        <v/>
      </c>
    </row>
    <row r="81" customFormat="false" ht="15" hidden="false" customHeight="true" outlineLevel="0" collapsed="false">
      <c r="B81" s="18"/>
      <c r="C81" s="19"/>
      <c r="D81" s="19"/>
      <c r="E81" s="20"/>
      <c r="F81" s="20"/>
      <c r="G81" s="21"/>
      <c r="H81" s="22" t="str">
        <f aca="true">IF(B81="","",ROUND(F81/MAX((TODAY()-C81)/30.44,0.1)*12,0))</f>
        <v/>
      </c>
      <c r="I81" s="23" t="str">
        <f aca="false">IF(B81="","",H81-E81)</f>
        <v/>
      </c>
      <c r="J81" s="24" t="n">
        <f aca="false">IF(OR(B81="",I81="",I81&lt;=0),0,ROUND(I81*G81/100,2))</f>
        <v>0</v>
      </c>
      <c r="K81" s="24" t="n">
        <f aca="false">IF(OR(B81="",I81="",I81&gt;=0),0,ROUND(ABS(I81)*G81/100,2))</f>
        <v>0</v>
      </c>
      <c r="L81" s="25" t="str">
        <f aca="false">IF(OR(B81="",H81="",E81="",E81=0),"",ROUND(H81/E81*100,1))</f>
        <v/>
      </c>
    </row>
    <row r="82" customFormat="false" ht="15" hidden="false" customHeight="true" outlineLevel="0" collapsed="false">
      <c r="B82" s="26"/>
      <c r="C82" s="27"/>
      <c r="D82" s="27"/>
      <c r="E82" s="28"/>
      <c r="F82" s="28"/>
      <c r="G82" s="29"/>
      <c r="H82" s="30" t="str">
        <f aca="true">IF(B82="","",ROUND(F82/MAX((TODAY()-C82)/30.44,0.1)*12,0))</f>
        <v/>
      </c>
      <c r="I82" s="31" t="str">
        <f aca="false">IF(B82="","",H82-E82)</f>
        <v/>
      </c>
      <c r="J82" s="32" t="n">
        <f aca="false">IF(OR(B82="",I82="",I82&lt;=0),0,ROUND(I82*G82/100,2))</f>
        <v>0</v>
      </c>
      <c r="K82" s="32" t="n">
        <f aca="false">IF(OR(B82="",I82="",I82&gt;=0),0,ROUND(ABS(I82)*G82/100,2))</f>
        <v>0</v>
      </c>
      <c r="L82" s="33" t="str">
        <f aca="false">IF(OR(B82="",H82="",E82="",E82=0),"",ROUND(H82/E82*100,1))</f>
        <v/>
      </c>
    </row>
    <row r="83" customFormat="false" ht="15" hidden="false" customHeight="true" outlineLevel="0" collapsed="false">
      <c r="B83" s="18"/>
      <c r="C83" s="19"/>
      <c r="D83" s="19"/>
      <c r="E83" s="20"/>
      <c r="F83" s="20"/>
      <c r="G83" s="21"/>
      <c r="H83" s="22" t="str">
        <f aca="true">IF(B83="","",ROUND(F83/MAX((TODAY()-C83)/30.44,0.1)*12,0))</f>
        <v/>
      </c>
      <c r="I83" s="23" t="str">
        <f aca="false">IF(B83="","",H83-E83)</f>
        <v/>
      </c>
      <c r="J83" s="24" t="n">
        <f aca="false">IF(OR(B83="",I83="",I83&lt;=0),0,ROUND(I83*G83/100,2))</f>
        <v>0</v>
      </c>
      <c r="K83" s="24" t="n">
        <f aca="false">IF(OR(B83="",I83="",I83&gt;=0),0,ROUND(ABS(I83)*G83/100,2))</f>
        <v>0</v>
      </c>
      <c r="L83" s="25" t="str">
        <f aca="false">IF(OR(B83="",H83="",E83="",E83=0),"",ROUND(H83/E83*100,1))</f>
        <v/>
      </c>
    </row>
    <row r="84" customFormat="false" ht="15" hidden="false" customHeight="true" outlineLevel="0" collapsed="false">
      <c r="B84" s="26"/>
      <c r="C84" s="27"/>
      <c r="D84" s="27"/>
      <c r="E84" s="28"/>
      <c r="F84" s="28"/>
      <c r="G84" s="29"/>
      <c r="H84" s="30" t="str">
        <f aca="true">IF(B84="","",ROUND(F84/MAX((TODAY()-C84)/30.44,0.1)*12,0))</f>
        <v/>
      </c>
      <c r="I84" s="31" t="str">
        <f aca="false">IF(B84="","",H84-E84)</f>
        <v/>
      </c>
      <c r="J84" s="32" t="n">
        <f aca="false">IF(OR(B84="",I84="",I84&lt;=0),0,ROUND(I84*G84/100,2))</f>
        <v>0</v>
      </c>
      <c r="K84" s="32" t="n">
        <f aca="false">IF(OR(B84="",I84="",I84&gt;=0),0,ROUND(ABS(I84)*G84/100,2))</f>
        <v>0</v>
      </c>
      <c r="L84" s="33" t="str">
        <f aca="false">IF(OR(B84="",H84="",E84="",E84=0),"",ROUND(H84/E84*100,1))</f>
        <v/>
      </c>
    </row>
    <row r="85" customFormat="false" ht="15" hidden="false" customHeight="true" outlineLevel="0" collapsed="false">
      <c r="B85" s="18"/>
      <c r="C85" s="19"/>
      <c r="D85" s="19"/>
      <c r="E85" s="20"/>
      <c r="F85" s="20"/>
      <c r="G85" s="21"/>
      <c r="H85" s="22" t="str">
        <f aca="true">IF(B85="","",ROUND(F85/MAX((TODAY()-C85)/30.44,0.1)*12,0))</f>
        <v/>
      </c>
      <c r="I85" s="23" t="str">
        <f aca="false">IF(B85="","",H85-E85)</f>
        <v/>
      </c>
      <c r="J85" s="24" t="n">
        <f aca="false">IF(OR(B85="",I85="",I85&lt;=0),0,ROUND(I85*G85/100,2))</f>
        <v>0</v>
      </c>
      <c r="K85" s="24" t="n">
        <f aca="false">IF(OR(B85="",I85="",I85&gt;=0),0,ROUND(ABS(I85)*G85/100,2))</f>
        <v>0</v>
      </c>
      <c r="L85" s="25" t="str">
        <f aca="false">IF(OR(B85="",H85="",E85="",E85=0),"",ROUND(H85/E85*100,1))</f>
        <v/>
      </c>
    </row>
    <row r="86" customFormat="false" ht="15" hidden="false" customHeight="true" outlineLevel="0" collapsed="false">
      <c r="B86" s="26"/>
      <c r="C86" s="27"/>
      <c r="D86" s="27"/>
      <c r="E86" s="28"/>
      <c r="F86" s="28"/>
      <c r="G86" s="29"/>
      <c r="H86" s="30" t="str">
        <f aca="true">IF(B86="","",ROUND(F86/MAX((TODAY()-C86)/30.44,0.1)*12,0))</f>
        <v/>
      </c>
      <c r="I86" s="31" t="str">
        <f aca="false">IF(B86="","",H86-E86)</f>
        <v/>
      </c>
      <c r="J86" s="32" t="n">
        <f aca="false">IF(OR(B86="",I86="",I86&lt;=0),0,ROUND(I86*G86/100,2))</f>
        <v>0</v>
      </c>
      <c r="K86" s="32" t="n">
        <f aca="false">IF(OR(B86="",I86="",I86&gt;=0),0,ROUND(ABS(I86)*G86/100,2))</f>
        <v>0</v>
      </c>
      <c r="L86" s="33" t="str">
        <f aca="false">IF(OR(B86="",H86="",E86="",E86=0),"",ROUND(H86/E86*100,1))</f>
        <v/>
      </c>
    </row>
    <row r="87" customFormat="false" ht="15" hidden="false" customHeight="true" outlineLevel="0" collapsed="false">
      <c r="B87" s="18"/>
      <c r="C87" s="19"/>
      <c r="D87" s="19"/>
      <c r="E87" s="20"/>
      <c r="F87" s="20"/>
      <c r="G87" s="21"/>
      <c r="H87" s="22" t="str">
        <f aca="true">IF(B87="","",ROUND(F87/MAX((TODAY()-C87)/30.44,0.1)*12,0))</f>
        <v/>
      </c>
      <c r="I87" s="23" t="str">
        <f aca="false">IF(B87="","",H87-E87)</f>
        <v/>
      </c>
      <c r="J87" s="24" t="n">
        <f aca="false">IF(OR(B87="",I87="",I87&lt;=0),0,ROUND(I87*G87/100,2))</f>
        <v>0</v>
      </c>
      <c r="K87" s="24" t="n">
        <f aca="false">IF(OR(B87="",I87="",I87&gt;=0),0,ROUND(ABS(I87)*G87/100,2))</f>
        <v>0</v>
      </c>
      <c r="L87" s="25" t="str">
        <f aca="false">IF(OR(B87="",H87="",E87="",E87=0),"",ROUND(H87/E87*100,1))</f>
        <v/>
      </c>
    </row>
    <row r="88" customFormat="false" ht="15" hidden="false" customHeight="true" outlineLevel="0" collapsed="false">
      <c r="B88" s="26"/>
      <c r="C88" s="27"/>
      <c r="D88" s="27"/>
      <c r="E88" s="28"/>
      <c r="F88" s="28"/>
      <c r="G88" s="29"/>
      <c r="H88" s="30" t="str">
        <f aca="true">IF(B88="","",ROUND(F88/MAX((TODAY()-C88)/30.44,0.1)*12,0))</f>
        <v/>
      </c>
      <c r="I88" s="31" t="str">
        <f aca="false">IF(B88="","",H88-E88)</f>
        <v/>
      </c>
      <c r="J88" s="32" t="n">
        <f aca="false">IF(OR(B88="",I88="",I88&lt;=0),0,ROUND(I88*G88/100,2))</f>
        <v>0</v>
      </c>
      <c r="K88" s="32" t="n">
        <f aca="false">IF(OR(B88="",I88="",I88&gt;=0),0,ROUND(ABS(I88)*G88/100,2))</f>
        <v>0</v>
      </c>
      <c r="L88" s="33" t="str">
        <f aca="false">IF(OR(B88="",H88="",E88="",E88=0),"",ROUND(H88/E88*100,1))</f>
        <v/>
      </c>
    </row>
    <row r="89" customFormat="false" ht="15" hidden="false" customHeight="true" outlineLevel="0" collapsed="false">
      <c r="B89" s="18"/>
      <c r="C89" s="19"/>
      <c r="D89" s="19"/>
      <c r="E89" s="20"/>
      <c r="F89" s="20"/>
      <c r="G89" s="21"/>
      <c r="H89" s="22" t="str">
        <f aca="true">IF(B89="","",ROUND(F89/MAX((TODAY()-C89)/30.44,0.1)*12,0))</f>
        <v/>
      </c>
      <c r="I89" s="23" t="str">
        <f aca="false">IF(B89="","",H89-E89)</f>
        <v/>
      </c>
      <c r="J89" s="24" t="n">
        <f aca="false">IF(OR(B89="",I89="",I89&lt;=0),0,ROUND(I89*G89/100,2))</f>
        <v>0</v>
      </c>
      <c r="K89" s="24" t="n">
        <f aca="false">IF(OR(B89="",I89="",I89&gt;=0),0,ROUND(ABS(I89)*G89/100,2))</f>
        <v>0</v>
      </c>
      <c r="L89" s="25" t="str">
        <f aca="false">IF(OR(B89="",H89="",E89="",E89=0),"",ROUND(H89/E89*100,1))</f>
        <v/>
      </c>
    </row>
    <row r="90" customFormat="false" ht="15" hidden="false" customHeight="true" outlineLevel="0" collapsed="false">
      <c r="B90" s="26"/>
      <c r="C90" s="27"/>
      <c r="D90" s="27"/>
      <c r="E90" s="28"/>
      <c r="F90" s="28"/>
      <c r="G90" s="29"/>
      <c r="H90" s="30" t="str">
        <f aca="true">IF(B90="","",ROUND(F90/MAX((TODAY()-C90)/30.44,0.1)*12,0))</f>
        <v/>
      </c>
      <c r="I90" s="31" t="str">
        <f aca="false">IF(B90="","",H90-E90)</f>
        <v/>
      </c>
      <c r="J90" s="32" t="n">
        <f aca="false">IF(OR(B90="",I90="",I90&lt;=0),0,ROUND(I90*G90/100,2))</f>
        <v>0</v>
      </c>
      <c r="K90" s="32" t="n">
        <f aca="false">IF(OR(B90="",I90="",I90&gt;=0),0,ROUND(ABS(I90)*G90/100,2))</f>
        <v>0</v>
      </c>
      <c r="L90" s="33" t="str">
        <f aca="false">IF(OR(B90="",H90="",E90="",E90=0),"",ROUND(H90/E90*100,1))</f>
        <v/>
      </c>
    </row>
    <row r="91" customFormat="false" ht="15" hidden="false" customHeight="true" outlineLevel="0" collapsed="false">
      <c r="B91" s="18"/>
      <c r="C91" s="19"/>
      <c r="D91" s="19"/>
      <c r="E91" s="20"/>
      <c r="F91" s="20"/>
      <c r="G91" s="21"/>
      <c r="H91" s="22" t="str">
        <f aca="true">IF(B91="","",ROUND(F91/MAX((TODAY()-C91)/30.44,0.1)*12,0))</f>
        <v/>
      </c>
      <c r="I91" s="23" t="str">
        <f aca="false">IF(B91="","",H91-E91)</f>
        <v/>
      </c>
      <c r="J91" s="24" t="n">
        <f aca="false">IF(OR(B91="",I91="",I91&lt;=0),0,ROUND(I91*G91/100,2))</f>
        <v>0</v>
      </c>
      <c r="K91" s="24" t="n">
        <f aca="false">IF(OR(B91="",I91="",I91&gt;=0),0,ROUND(ABS(I91)*G91/100,2))</f>
        <v>0</v>
      </c>
      <c r="L91" s="25" t="str">
        <f aca="false">IF(OR(B91="",H91="",E91="",E91=0),"",ROUND(H91/E91*100,1))</f>
        <v/>
      </c>
    </row>
    <row r="92" customFormat="false" ht="15" hidden="false" customHeight="true" outlineLevel="0" collapsed="false">
      <c r="B92" s="26"/>
      <c r="C92" s="27"/>
      <c r="D92" s="27"/>
      <c r="E92" s="28"/>
      <c r="F92" s="28"/>
      <c r="G92" s="29"/>
      <c r="H92" s="30" t="str">
        <f aca="true">IF(B92="","",ROUND(F92/MAX((TODAY()-C92)/30.44,0.1)*12,0))</f>
        <v/>
      </c>
      <c r="I92" s="31" t="str">
        <f aca="false">IF(B92="","",H92-E92)</f>
        <v/>
      </c>
      <c r="J92" s="32" t="n">
        <f aca="false">IF(OR(B92="",I92="",I92&lt;=0),0,ROUND(I92*G92/100,2))</f>
        <v>0</v>
      </c>
      <c r="K92" s="32" t="n">
        <f aca="false">IF(OR(B92="",I92="",I92&gt;=0),0,ROUND(ABS(I92)*G92/100,2))</f>
        <v>0</v>
      </c>
      <c r="L92" s="33" t="str">
        <f aca="false">IF(OR(B92="",H92="",E92="",E92=0),"",ROUND(H92/E92*100,1))</f>
        <v/>
      </c>
    </row>
    <row r="93" customFormat="false" ht="15" hidden="false" customHeight="true" outlineLevel="0" collapsed="false">
      <c r="B93" s="18"/>
      <c r="C93" s="19"/>
      <c r="D93" s="19"/>
      <c r="E93" s="20"/>
      <c r="F93" s="20"/>
      <c r="G93" s="21"/>
      <c r="H93" s="22" t="str">
        <f aca="true">IF(B93="","",ROUND(F93/MAX((TODAY()-C93)/30.44,0.1)*12,0))</f>
        <v/>
      </c>
      <c r="I93" s="23" t="str">
        <f aca="false">IF(B93="","",H93-E93)</f>
        <v/>
      </c>
      <c r="J93" s="24" t="n">
        <f aca="false">IF(OR(B93="",I93="",I93&lt;=0),0,ROUND(I93*G93/100,2))</f>
        <v>0</v>
      </c>
      <c r="K93" s="24" t="n">
        <f aca="false">IF(OR(B93="",I93="",I93&gt;=0),0,ROUND(ABS(I93)*G93/100,2))</f>
        <v>0</v>
      </c>
      <c r="L93" s="25" t="str">
        <f aca="false">IF(OR(B93="",H93="",E93="",E93=0),"",ROUND(H93/E93*100,1))</f>
        <v/>
      </c>
    </row>
    <row r="94" customFormat="false" ht="15" hidden="false" customHeight="true" outlineLevel="0" collapsed="false">
      <c r="B94" s="26"/>
      <c r="C94" s="27"/>
      <c r="D94" s="27"/>
      <c r="E94" s="28"/>
      <c r="F94" s="28"/>
      <c r="G94" s="29"/>
      <c r="H94" s="30" t="str">
        <f aca="true">IF(B94="","",ROUND(F94/MAX((TODAY()-C94)/30.44,0.1)*12,0))</f>
        <v/>
      </c>
      <c r="I94" s="31" t="str">
        <f aca="false">IF(B94="","",H94-E94)</f>
        <v/>
      </c>
      <c r="J94" s="32" t="n">
        <f aca="false">IF(OR(B94="",I94="",I94&lt;=0),0,ROUND(I94*G94/100,2))</f>
        <v>0</v>
      </c>
      <c r="K94" s="32" t="n">
        <f aca="false">IF(OR(B94="",I94="",I94&gt;=0),0,ROUND(ABS(I94)*G94/100,2))</f>
        <v>0</v>
      </c>
      <c r="L94" s="33" t="str">
        <f aca="false">IF(OR(B94="",H94="",E94="",E94=0),"",ROUND(H94/E94*100,1))</f>
        <v/>
      </c>
    </row>
    <row r="95" customFormat="false" ht="15" hidden="false" customHeight="true" outlineLevel="0" collapsed="false">
      <c r="B95" s="18"/>
      <c r="C95" s="19"/>
      <c r="D95" s="19"/>
      <c r="E95" s="20"/>
      <c r="F95" s="20"/>
      <c r="G95" s="21"/>
      <c r="H95" s="22" t="str">
        <f aca="true">IF(B95="","",ROUND(F95/MAX((TODAY()-C95)/30.44,0.1)*12,0))</f>
        <v/>
      </c>
      <c r="I95" s="23" t="str">
        <f aca="false">IF(B95="","",H95-E95)</f>
        <v/>
      </c>
      <c r="J95" s="24" t="n">
        <f aca="false">IF(OR(B95="",I95="",I95&lt;=0),0,ROUND(I95*G95/100,2))</f>
        <v>0</v>
      </c>
      <c r="K95" s="24" t="n">
        <f aca="false">IF(OR(B95="",I95="",I95&gt;=0),0,ROUND(ABS(I95)*G95/100,2))</f>
        <v>0</v>
      </c>
      <c r="L95" s="25" t="str">
        <f aca="false">IF(OR(B95="",H95="",E95="",E95=0),"",ROUND(H95/E95*100,1))</f>
        <v/>
      </c>
    </row>
    <row r="96" customFormat="false" ht="15" hidden="false" customHeight="true" outlineLevel="0" collapsed="false">
      <c r="B96" s="26"/>
      <c r="C96" s="27"/>
      <c r="D96" s="27"/>
      <c r="E96" s="28"/>
      <c r="F96" s="28"/>
      <c r="G96" s="29"/>
      <c r="H96" s="30" t="str">
        <f aca="true">IF(B96="","",ROUND(F96/MAX((TODAY()-C96)/30.44,0.1)*12,0))</f>
        <v/>
      </c>
      <c r="I96" s="31" t="str">
        <f aca="false">IF(B96="","",H96-E96)</f>
        <v/>
      </c>
      <c r="J96" s="32" t="n">
        <f aca="false">IF(OR(B96="",I96="",I96&lt;=0),0,ROUND(I96*G96/100,2))</f>
        <v>0</v>
      </c>
      <c r="K96" s="32" t="n">
        <f aca="false">IF(OR(B96="",I96="",I96&gt;=0),0,ROUND(ABS(I96)*G96/100,2))</f>
        <v>0</v>
      </c>
      <c r="L96" s="33" t="str">
        <f aca="false">IF(OR(B96="",H96="",E96="",E96=0),"",ROUND(H96/E96*100,1))</f>
        <v/>
      </c>
    </row>
    <row r="97" customFormat="false" ht="15" hidden="false" customHeight="true" outlineLevel="0" collapsed="false">
      <c r="B97" s="18"/>
      <c r="C97" s="19"/>
      <c r="D97" s="19"/>
      <c r="E97" s="20"/>
      <c r="F97" s="20"/>
      <c r="G97" s="21"/>
      <c r="H97" s="22" t="str">
        <f aca="true">IF(B97="","",ROUND(F97/MAX((TODAY()-C97)/30.44,0.1)*12,0))</f>
        <v/>
      </c>
      <c r="I97" s="23" t="str">
        <f aca="false">IF(B97="","",H97-E97)</f>
        <v/>
      </c>
      <c r="J97" s="24" t="n">
        <f aca="false">IF(OR(B97="",I97="",I97&lt;=0),0,ROUND(I97*G97/100,2))</f>
        <v>0</v>
      </c>
      <c r="K97" s="24" t="n">
        <f aca="false">IF(OR(B97="",I97="",I97&gt;=0),0,ROUND(ABS(I97)*G97/100,2))</f>
        <v>0</v>
      </c>
      <c r="L97" s="25" t="str">
        <f aca="false">IF(OR(B97="",H97="",E97="",E97=0),"",ROUND(H97/E97*100,1))</f>
        <v/>
      </c>
    </row>
    <row r="98" customFormat="false" ht="15" hidden="false" customHeight="true" outlineLevel="0" collapsed="false">
      <c r="B98" s="26"/>
      <c r="C98" s="27"/>
      <c r="D98" s="27"/>
      <c r="E98" s="28"/>
      <c r="F98" s="28"/>
      <c r="G98" s="29"/>
      <c r="H98" s="30" t="str">
        <f aca="true">IF(B98="","",ROUND(F98/MAX((TODAY()-C98)/30.44,0.1)*12,0))</f>
        <v/>
      </c>
      <c r="I98" s="31" t="str">
        <f aca="false">IF(B98="","",H98-E98)</f>
        <v/>
      </c>
      <c r="J98" s="32" t="n">
        <f aca="false">IF(OR(B98="",I98="",I98&lt;=0),0,ROUND(I98*G98/100,2))</f>
        <v>0</v>
      </c>
      <c r="K98" s="32" t="n">
        <f aca="false">IF(OR(B98="",I98="",I98&gt;=0),0,ROUND(ABS(I98)*G98/100,2))</f>
        <v>0</v>
      </c>
      <c r="L98" s="33" t="str">
        <f aca="false">IF(OR(B98="",H98="",E98="",E98=0),"",ROUND(H98/E98*100,1))</f>
        <v/>
      </c>
    </row>
    <row r="99" customFormat="false" ht="15" hidden="false" customHeight="true" outlineLevel="0" collapsed="false">
      <c r="B99" s="18"/>
      <c r="C99" s="19"/>
      <c r="D99" s="19"/>
      <c r="E99" s="20"/>
      <c r="F99" s="20"/>
      <c r="G99" s="21"/>
      <c r="H99" s="22" t="str">
        <f aca="true">IF(B99="","",ROUND(F99/MAX((TODAY()-C99)/30.44,0.1)*12,0))</f>
        <v/>
      </c>
      <c r="I99" s="23" t="str">
        <f aca="false">IF(B99="","",H99-E99)</f>
        <v/>
      </c>
      <c r="J99" s="24" t="n">
        <f aca="false">IF(OR(B99="",I99="",I99&lt;=0),0,ROUND(I99*G99/100,2))</f>
        <v>0</v>
      </c>
      <c r="K99" s="24" t="n">
        <f aca="false">IF(OR(B99="",I99="",I99&gt;=0),0,ROUND(ABS(I99)*G99/100,2))</f>
        <v>0</v>
      </c>
      <c r="L99" s="25" t="str">
        <f aca="false">IF(OR(B99="",H99="",E99="",E99=0),"",ROUND(H99/E99*100,1))</f>
        <v/>
      </c>
    </row>
    <row r="100" customFormat="false" ht="15" hidden="false" customHeight="true" outlineLevel="0" collapsed="false">
      <c r="B100" s="26"/>
      <c r="C100" s="27"/>
      <c r="D100" s="27"/>
      <c r="E100" s="28"/>
      <c r="F100" s="28"/>
      <c r="G100" s="29"/>
      <c r="H100" s="30" t="str">
        <f aca="true">IF(B100="","",ROUND(F100/MAX((TODAY()-C100)/30.44,0.1)*12,0))</f>
        <v/>
      </c>
      <c r="I100" s="31" t="str">
        <f aca="false">IF(B100="","",H100-E100)</f>
        <v/>
      </c>
      <c r="J100" s="32" t="n">
        <f aca="false">IF(OR(B100="",I100="",I100&lt;=0),0,ROUND(I100*G100/100,2))</f>
        <v>0</v>
      </c>
      <c r="K100" s="32" t="n">
        <f aca="false">IF(OR(B100="",I100="",I100&gt;=0),0,ROUND(ABS(I100)*G100/100,2))</f>
        <v>0</v>
      </c>
      <c r="L100" s="33" t="str">
        <f aca="false">IF(OR(B100="",H100="",E100="",E100=0),"",ROUND(H100/E100*100,1))</f>
        <v/>
      </c>
    </row>
    <row r="101" customFormat="false" ht="15" hidden="false" customHeight="true" outlineLevel="0" collapsed="false">
      <c r="B101" s="18"/>
      <c r="C101" s="19"/>
      <c r="D101" s="19"/>
      <c r="E101" s="20"/>
      <c r="F101" s="20"/>
      <c r="G101" s="21"/>
      <c r="H101" s="22" t="str">
        <f aca="true">IF(B101="","",ROUND(F101/MAX((TODAY()-C101)/30.44,0.1)*12,0))</f>
        <v/>
      </c>
      <c r="I101" s="23" t="str">
        <f aca="false">IF(B101="","",H101-E101)</f>
        <v/>
      </c>
      <c r="J101" s="24" t="n">
        <f aca="false">IF(OR(B101="",I101="",I101&lt;=0),0,ROUND(I101*G101/100,2))</f>
        <v>0</v>
      </c>
      <c r="K101" s="24" t="n">
        <f aca="false">IF(OR(B101="",I101="",I101&gt;=0),0,ROUND(ABS(I101)*G101/100,2))</f>
        <v>0</v>
      </c>
      <c r="L101" s="25" t="str">
        <f aca="false">IF(OR(B101="",H101="",E101="",E101=0),"",ROUND(H101/E101*100,1))</f>
        <v/>
      </c>
    </row>
    <row r="102" customFormat="false" ht="15" hidden="false" customHeight="true" outlineLevel="0" collapsed="false">
      <c r="B102" s="26"/>
      <c r="C102" s="27"/>
      <c r="D102" s="27"/>
      <c r="E102" s="28"/>
      <c r="F102" s="28"/>
      <c r="G102" s="29"/>
      <c r="H102" s="30" t="str">
        <f aca="true">IF(B102="","",ROUND(F102/MAX((TODAY()-C102)/30.44,0.1)*12,0))</f>
        <v/>
      </c>
      <c r="I102" s="31" t="str">
        <f aca="false">IF(B102="","",H102-E102)</f>
        <v/>
      </c>
      <c r="J102" s="32" t="n">
        <f aca="false">IF(OR(B102="",I102="",I102&lt;=0),0,ROUND(I102*G102/100,2))</f>
        <v>0</v>
      </c>
      <c r="K102" s="32" t="n">
        <f aca="false">IF(OR(B102="",I102="",I102&gt;=0),0,ROUND(ABS(I102)*G102/100,2))</f>
        <v>0</v>
      </c>
      <c r="L102" s="33" t="str">
        <f aca="false">IF(OR(B102="",H102="",E102="",E102=0),"",ROUND(H102/E102*100,1))</f>
        <v/>
      </c>
    </row>
    <row r="103" customFormat="false" ht="15" hidden="false" customHeight="true" outlineLevel="0" collapsed="false">
      <c r="B103" s="18"/>
      <c r="C103" s="19"/>
      <c r="D103" s="19"/>
      <c r="E103" s="20"/>
      <c r="F103" s="20"/>
      <c r="G103" s="21"/>
      <c r="H103" s="22" t="str">
        <f aca="true">IF(B103="","",ROUND(F103/MAX((TODAY()-C103)/30.44,0.1)*12,0))</f>
        <v/>
      </c>
      <c r="I103" s="23" t="str">
        <f aca="false">IF(B103="","",H103-E103)</f>
        <v/>
      </c>
      <c r="J103" s="24" t="n">
        <f aca="false">IF(OR(B103="",I103="",I103&lt;=0),0,ROUND(I103*G103/100,2))</f>
        <v>0</v>
      </c>
      <c r="K103" s="24" t="n">
        <f aca="false">IF(OR(B103="",I103="",I103&gt;=0),0,ROUND(ABS(I103)*G103/100,2))</f>
        <v>0</v>
      </c>
      <c r="L103" s="25" t="str">
        <f aca="false">IF(OR(B103="",H103="",E103="",E103=0),"",ROUND(H103/E103*100,1))</f>
        <v/>
      </c>
    </row>
    <row r="104" customFormat="false" ht="15" hidden="false" customHeight="true" outlineLevel="0" collapsed="false">
      <c r="B104" s="26"/>
      <c r="C104" s="27"/>
      <c r="D104" s="27"/>
      <c r="E104" s="28"/>
      <c r="F104" s="28"/>
      <c r="G104" s="29"/>
      <c r="H104" s="30" t="str">
        <f aca="true">IF(B104="","",ROUND(F104/MAX((TODAY()-C104)/30.44,0.1)*12,0))</f>
        <v/>
      </c>
      <c r="I104" s="31" t="str">
        <f aca="false">IF(B104="","",H104-E104)</f>
        <v/>
      </c>
      <c r="J104" s="32" t="n">
        <f aca="false">IF(OR(B104="",I104="",I104&lt;=0),0,ROUND(I104*G104/100,2))</f>
        <v>0</v>
      </c>
      <c r="K104" s="32" t="n">
        <f aca="false">IF(OR(B104="",I104="",I104&gt;=0),0,ROUND(ABS(I104)*G104/100,2))</f>
        <v>0</v>
      </c>
      <c r="L104" s="33" t="str">
        <f aca="false">IF(OR(B104="",H104="",E104="",E104=0),"",ROUND(H104/E104*100,1))</f>
        <v/>
      </c>
    </row>
    <row r="105" customFormat="false" ht="15" hidden="false" customHeight="true" outlineLevel="0" collapsed="false">
      <c r="B105" s="18"/>
      <c r="C105" s="19"/>
      <c r="D105" s="19"/>
      <c r="E105" s="20"/>
      <c r="F105" s="20"/>
      <c r="G105" s="21"/>
      <c r="H105" s="22" t="str">
        <f aca="true">IF(B105="","",ROUND(F105/MAX((TODAY()-C105)/30.44,0.1)*12,0))</f>
        <v/>
      </c>
      <c r="I105" s="23" t="str">
        <f aca="false">IF(B105="","",H105-E105)</f>
        <v/>
      </c>
      <c r="J105" s="24" t="n">
        <f aca="false">IF(OR(B105="",I105="",I105&lt;=0),0,ROUND(I105*G105/100,2))</f>
        <v>0</v>
      </c>
      <c r="K105" s="24" t="n">
        <f aca="false">IF(OR(B105="",I105="",I105&gt;=0),0,ROUND(ABS(I105)*G105/100,2))</f>
        <v>0</v>
      </c>
      <c r="L105" s="25" t="str">
        <f aca="false">IF(OR(B105="",H105="",E105="",E105=0),"",ROUND(H105/E105*100,1))</f>
        <v/>
      </c>
    </row>
    <row r="106" customFormat="false" ht="15" hidden="false" customHeight="true" outlineLevel="0" collapsed="false">
      <c r="B106" s="26"/>
      <c r="C106" s="27"/>
      <c r="D106" s="27"/>
      <c r="E106" s="28"/>
      <c r="F106" s="28"/>
      <c r="G106" s="29"/>
      <c r="H106" s="30" t="str">
        <f aca="true">IF(B106="","",ROUND(F106/MAX((TODAY()-C106)/30.44,0.1)*12,0))</f>
        <v/>
      </c>
      <c r="I106" s="31" t="str">
        <f aca="false">IF(B106="","",H106-E106)</f>
        <v/>
      </c>
      <c r="J106" s="32" t="n">
        <f aca="false">IF(OR(B106="",I106="",I106&lt;=0),0,ROUND(I106*G106/100,2))</f>
        <v>0</v>
      </c>
      <c r="K106" s="32" t="n">
        <f aca="false">IF(OR(B106="",I106="",I106&gt;=0),0,ROUND(ABS(I106)*G106/100,2))</f>
        <v>0</v>
      </c>
      <c r="L106" s="33" t="str">
        <f aca="false">IF(OR(B106="",H106="",E106="",E106=0),"",ROUND(H106/E106*100,1))</f>
        <v/>
      </c>
    </row>
    <row r="107" customFormat="false" ht="15" hidden="false" customHeight="true" outlineLevel="0" collapsed="false">
      <c r="B107" s="18"/>
      <c r="C107" s="19"/>
      <c r="D107" s="19"/>
      <c r="E107" s="20"/>
      <c r="F107" s="20"/>
      <c r="G107" s="21"/>
      <c r="H107" s="22" t="str">
        <f aca="true">IF(B107="","",ROUND(F107/MAX((TODAY()-C107)/30.44,0.1)*12,0))</f>
        <v/>
      </c>
      <c r="I107" s="23" t="str">
        <f aca="false">IF(B107="","",H107-E107)</f>
        <v/>
      </c>
      <c r="J107" s="24" t="n">
        <f aca="false">IF(OR(B107="",I107="",I107&lt;=0),0,ROUND(I107*G107/100,2))</f>
        <v>0</v>
      </c>
      <c r="K107" s="24" t="n">
        <f aca="false">IF(OR(B107="",I107="",I107&gt;=0),0,ROUND(ABS(I107)*G107/100,2))</f>
        <v>0</v>
      </c>
      <c r="L107" s="25" t="str">
        <f aca="false">IF(OR(B107="",H107="",E107="",E107=0),"",ROUND(H107/E107*100,1))</f>
        <v/>
      </c>
    </row>
    <row r="108" customFormat="false" ht="15" hidden="false" customHeight="true" outlineLevel="0" collapsed="false">
      <c r="B108" s="26"/>
      <c r="C108" s="27"/>
      <c r="D108" s="27"/>
      <c r="E108" s="28"/>
      <c r="F108" s="28"/>
      <c r="G108" s="29"/>
      <c r="H108" s="30" t="str">
        <f aca="true">IF(B108="","",ROUND(F108/MAX((TODAY()-C108)/30.44,0.1)*12,0))</f>
        <v/>
      </c>
      <c r="I108" s="31" t="str">
        <f aca="false">IF(B108="","",H108-E108)</f>
        <v/>
      </c>
      <c r="J108" s="32" t="n">
        <f aca="false">IF(OR(B108="",I108="",I108&lt;=0),0,ROUND(I108*G108/100,2))</f>
        <v>0</v>
      </c>
      <c r="K108" s="32" t="n">
        <f aca="false">IF(OR(B108="",I108="",I108&gt;=0),0,ROUND(ABS(I108)*G108/100,2))</f>
        <v>0</v>
      </c>
      <c r="L108" s="33" t="str">
        <f aca="false">IF(OR(B108="",H108="",E108="",E108=0),"",ROUND(H108/E108*100,1))</f>
        <v/>
      </c>
    </row>
    <row r="109" customFormat="false" ht="15" hidden="false" customHeight="true" outlineLevel="0" collapsed="false">
      <c r="B109" s="18"/>
      <c r="C109" s="19"/>
      <c r="D109" s="19"/>
      <c r="E109" s="20"/>
      <c r="F109" s="20"/>
      <c r="G109" s="21"/>
      <c r="H109" s="22" t="str">
        <f aca="true">IF(B109="","",ROUND(F109/MAX((TODAY()-C109)/30.44,0.1)*12,0))</f>
        <v/>
      </c>
      <c r="I109" s="23" t="str">
        <f aca="false">IF(B109="","",H109-E109)</f>
        <v/>
      </c>
      <c r="J109" s="24" t="n">
        <f aca="false">IF(OR(B109="",I109="",I109&lt;=0),0,ROUND(I109*G109/100,2))</f>
        <v>0</v>
      </c>
      <c r="K109" s="24" t="n">
        <f aca="false">IF(OR(B109="",I109="",I109&gt;=0),0,ROUND(ABS(I109)*G109/100,2))</f>
        <v>0</v>
      </c>
      <c r="L109" s="25" t="str">
        <f aca="false">IF(OR(B109="",H109="",E109="",E109=0),"",ROUND(H109/E109*100,1))</f>
        <v/>
      </c>
    </row>
    <row r="110" customFormat="false" ht="15" hidden="false" customHeight="true" outlineLevel="0" collapsed="false">
      <c r="B110" s="26"/>
      <c r="C110" s="27"/>
      <c r="D110" s="27"/>
      <c r="E110" s="28"/>
      <c r="F110" s="28"/>
      <c r="G110" s="29"/>
      <c r="H110" s="30" t="str">
        <f aca="true">IF(B110="","",ROUND(F110/MAX((TODAY()-C110)/30.44,0.1)*12,0))</f>
        <v/>
      </c>
      <c r="I110" s="31" t="str">
        <f aca="false">IF(B110="","",H110-E110)</f>
        <v/>
      </c>
      <c r="J110" s="32" t="n">
        <f aca="false">IF(OR(B110="",I110="",I110&lt;=0),0,ROUND(I110*G110/100,2))</f>
        <v>0</v>
      </c>
      <c r="K110" s="32" t="n">
        <f aca="false">IF(OR(B110="",I110="",I110&gt;=0),0,ROUND(ABS(I110)*G110/100,2))</f>
        <v>0</v>
      </c>
      <c r="L110" s="33" t="str">
        <f aca="false">IF(OR(B110="",H110="",E110="",E110=0),"",ROUND(H110/E110*100,1))</f>
        <v/>
      </c>
    </row>
    <row r="111" customFormat="false" ht="15" hidden="false" customHeight="true" outlineLevel="0" collapsed="false">
      <c r="B111" s="18"/>
      <c r="C111" s="19"/>
      <c r="D111" s="19"/>
      <c r="E111" s="20"/>
      <c r="F111" s="20"/>
      <c r="G111" s="21"/>
      <c r="H111" s="22" t="str">
        <f aca="true">IF(B111="","",ROUND(F111/MAX((TODAY()-C111)/30.44,0.1)*12,0))</f>
        <v/>
      </c>
      <c r="I111" s="23" t="str">
        <f aca="false">IF(B111="","",H111-E111)</f>
        <v/>
      </c>
      <c r="J111" s="24" t="n">
        <f aca="false">IF(OR(B111="",I111="",I111&lt;=0),0,ROUND(I111*G111/100,2))</f>
        <v>0</v>
      </c>
      <c r="K111" s="24" t="n">
        <f aca="false">IF(OR(B111="",I111="",I111&gt;=0),0,ROUND(ABS(I111)*G111/100,2))</f>
        <v>0</v>
      </c>
      <c r="L111" s="25" t="str">
        <f aca="false">IF(OR(B111="",H111="",E111="",E111=0),"",ROUND(H111/E111*100,1))</f>
        <v/>
      </c>
    </row>
    <row r="112" customFormat="false" ht="15" hidden="false" customHeight="true" outlineLevel="0" collapsed="false">
      <c r="B112" s="26"/>
      <c r="C112" s="27"/>
      <c r="D112" s="27"/>
      <c r="E112" s="28"/>
      <c r="F112" s="28"/>
      <c r="G112" s="29"/>
      <c r="H112" s="30" t="str">
        <f aca="true">IF(B112="","",ROUND(F112/MAX((TODAY()-C112)/30.44,0.1)*12,0))</f>
        <v/>
      </c>
      <c r="I112" s="31" t="str">
        <f aca="false">IF(B112="","",H112-E112)</f>
        <v/>
      </c>
      <c r="J112" s="32" t="n">
        <f aca="false">IF(OR(B112="",I112="",I112&lt;=0),0,ROUND(I112*G112/100,2))</f>
        <v>0</v>
      </c>
      <c r="K112" s="32" t="n">
        <f aca="false">IF(OR(B112="",I112="",I112&gt;=0),0,ROUND(ABS(I112)*G112/100,2))</f>
        <v>0</v>
      </c>
      <c r="L112" s="33" t="str">
        <f aca="false">IF(OR(B112="",H112="",E112="",E112=0),"",ROUND(H112/E112*100,1))</f>
        <v/>
      </c>
    </row>
    <row r="113" customFormat="false" ht="15" hidden="false" customHeight="true" outlineLevel="0" collapsed="false">
      <c r="B113" s="18"/>
      <c r="C113" s="19"/>
      <c r="D113" s="19"/>
      <c r="E113" s="20"/>
      <c r="F113" s="20"/>
      <c r="G113" s="21"/>
      <c r="H113" s="22" t="str">
        <f aca="true">IF(B113="","",ROUND(F113/MAX((TODAY()-C113)/30.44,0.1)*12,0))</f>
        <v/>
      </c>
      <c r="I113" s="23" t="str">
        <f aca="false">IF(B113="","",H113-E113)</f>
        <v/>
      </c>
      <c r="J113" s="24" t="n">
        <f aca="false">IF(OR(B113="",I113="",I113&lt;=0),0,ROUND(I113*G113/100,2))</f>
        <v>0</v>
      </c>
      <c r="K113" s="24" t="n">
        <f aca="false">IF(OR(B113="",I113="",I113&gt;=0),0,ROUND(ABS(I113)*G113/100,2))</f>
        <v>0</v>
      </c>
      <c r="L113" s="25" t="str">
        <f aca="false">IF(OR(B113="",H113="",E113="",E113=0),"",ROUND(H113/E113*100,1))</f>
        <v/>
      </c>
    </row>
    <row r="114" customFormat="false" ht="15" hidden="false" customHeight="true" outlineLevel="0" collapsed="false">
      <c r="B114" s="26"/>
      <c r="C114" s="27"/>
      <c r="D114" s="27"/>
      <c r="E114" s="28"/>
      <c r="F114" s="28"/>
      <c r="G114" s="29"/>
      <c r="H114" s="30" t="str">
        <f aca="true">IF(B114="","",ROUND(F114/MAX((TODAY()-C114)/30.44,0.1)*12,0))</f>
        <v/>
      </c>
      <c r="I114" s="31" t="str">
        <f aca="false">IF(B114="","",H114-E114)</f>
        <v/>
      </c>
      <c r="J114" s="32" t="n">
        <f aca="false">IF(OR(B114="",I114="",I114&lt;=0),0,ROUND(I114*G114/100,2))</f>
        <v>0</v>
      </c>
      <c r="K114" s="32" t="n">
        <f aca="false">IF(OR(B114="",I114="",I114&gt;=0),0,ROUND(ABS(I114)*G114/100,2))</f>
        <v>0</v>
      </c>
      <c r="L114" s="33" t="str">
        <f aca="false">IF(OR(B114="",H114="",E114="",E114=0),"",ROUND(H114/E114*100,1))</f>
        <v/>
      </c>
    </row>
    <row r="115" customFormat="false" ht="15" hidden="false" customHeight="true" outlineLevel="0" collapsed="false">
      <c r="B115" s="18"/>
      <c r="C115" s="19"/>
      <c r="D115" s="19"/>
      <c r="E115" s="20"/>
      <c r="F115" s="20"/>
      <c r="G115" s="21"/>
      <c r="H115" s="22" t="str">
        <f aca="true">IF(B115="","",ROUND(F115/MAX((TODAY()-C115)/30.44,0.1)*12,0))</f>
        <v/>
      </c>
      <c r="I115" s="23" t="str">
        <f aca="false">IF(B115="","",H115-E115)</f>
        <v/>
      </c>
      <c r="J115" s="24" t="n">
        <f aca="false">IF(OR(B115="",I115="",I115&lt;=0),0,ROUND(I115*G115/100,2))</f>
        <v>0</v>
      </c>
      <c r="K115" s="24" t="n">
        <f aca="false">IF(OR(B115="",I115="",I115&gt;=0),0,ROUND(ABS(I115)*G115/100,2))</f>
        <v>0</v>
      </c>
      <c r="L115" s="25" t="str">
        <f aca="false">IF(OR(B115="",H115="",E115="",E115=0),"",ROUND(H115/E115*100,1))</f>
        <v/>
      </c>
    </row>
    <row r="116" customFormat="false" ht="15" hidden="false" customHeight="true" outlineLevel="0" collapsed="false">
      <c r="B116" s="26"/>
      <c r="C116" s="27"/>
      <c r="D116" s="27"/>
      <c r="E116" s="28"/>
      <c r="F116" s="28"/>
      <c r="G116" s="29"/>
      <c r="H116" s="30" t="str">
        <f aca="true">IF(B116="","",ROUND(F116/MAX((TODAY()-C116)/30.44,0.1)*12,0))</f>
        <v/>
      </c>
      <c r="I116" s="31" t="str">
        <f aca="false">IF(B116="","",H116-E116)</f>
        <v/>
      </c>
      <c r="J116" s="32" t="n">
        <f aca="false">IF(OR(B116="",I116="",I116&lt;=0),0,ROUND(I116*G116/100,2))</f>
        <v>0</v>
      </c>
      <c r="K116" s="32" t="n">
        <f aca="false">IF(OR(B116="",I116="",I116&gt;=0),0,ROUND(ABS(I116)*G116/100,2))</f>
        <v>0</v>
      </c>
      <c r="L116" s="33" t="str">
        <f aca="false">IF(OR(B116="",H116="",E116="",E116=0),"",ROUND(H116/E116*100,1))</f>
        <v/>
      </c>
    </row>
  </sheetData>
  <mergeCells count="6">
    <mergeCell ref="B1:L1"/>
    <mergeCell ref="B2:L2"/>
    <mergeCell ref="B4:L4"/>
    <mergeCell ref="B6:C6"/>
    <mergeCell ref="E6:F6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0"/>
  </cols>
  <sheetData>
    <row r="1" customFormat="false" ht="34.5" hidden="false" customHeight="true" outlineLevel="0" collapsed="false">
      <c r="A1" s="2"/>
      <c r="B1" s="34" t="s">
        <v>33</v>
      </c>
      <c r="C1" s="34"/>
      <c r="D1" s="34"/>
    </row>
    <row r="3" customFormat="false" ht="15" hidden="false" customHeight="true" outlineLevel="0" collapsed="false">
      <c r="B3" s="35" t="s">
        <v>34</v>
      </c>
    </row>
    <row r="5" customFormat="false" ht="15" hidden="false" customHeight="true" outlineLevel="0" collapsed="false">
      <c r="B5" s="36" t="s">
        <v>35</v>
      </c>
    </row>
    <row r="6" customFormat="false" ht="15" hidden="false" customHeight="true" outlineLevel="0" collapsed="false">
      <c r="B6" s="37" t="s">
        <v>36</v>
      </c>
    </row>
    <row r="7" customFormat="false" ht="15" hidden="false" customHeight="true" outlineLevel="0" collapsed="false">
      <c r="B7" s="38" t="s">
        <v>37</v>
      </c>
    </row>
    <row r="9" customFormat="false" ht="15" hidden="false" customHeight="true" outlineLevel="0" collapsed="false">
      <c r="B9" s="36" t="s">
        <v>38</v>
      </c>
    </row>
    <row r="10" customFormat="false" ht="15" hidden="false" customHeight="true" outlineLevel="0" collapsed="false">
      <c r="B10" s="37" t="s">
        <v>39</v>
      </c>
    </row>
    <row r="11" customFormat="false" ht="15" hidden="false" customHeight="true" outlineLevel="0" collapsed="false">
      <c r="B11" s="38" t="s">
        <v>40</v>
      </c>
    </row>
    <row r="13" customFormat="false" ht="15" hidden="false" customHeight="true" outlineLevel="0" collapsed="false">
      <c r="B13" s="36" t="s">
        <v>41</v>
      </c>
    </row>
    <row r="14" customFormat="false" ht="15" hidden="false" customHeight="true" outlineLevel="0" collapsed="false">
      <c r="B14" s="37" t="s">
        <v>42</v>
      </c>
    </row>
    <row r="15" customFormat="false" ht="15" hidden="false" customHeight="true" outlineLevel="0" collapsed="false">
      <c r="B15" s="38" t="s">
        <v>43</v>
      </c>
    </row>
    <row r="17" customFormat="false" ht="15" hidden="false" customHeight="true" outlineLevel="0" collapsed="false">
      <c r="B17" s="36" t="s">
        <v>44</v>
      </c>
    </row>
    <row r="18" customFormat="false" ht="15" hidden="false" customHeight="true" outlineLevel="0" collapsed="false">
      <c r="B18" s="37" t="s">
        <v>45</v>
      </c>
    </row>
    <row r="19" customFormat="false" ht="15" hidden="false" customHeight="true" outlineLevel="0" collapsed="false">
      <c r="B19" s="38" t="s">
        <v>46</v>
      </c>
    </row>
    <row r="22" customFormat="false" ht="15" hidden="false" customHeight="true" outlineLevel="0" collapsed="false">
      <c r="B22" s="35" t="s">
        <v>47</v>
      </c>
    </row>
    <row r="24" customFormat="false" ht="15" hidden="false" customHeight="true" outlineLevel="0" collapsed="false">
      <c r="B24" s="36" t="s">
        <v>48</v>
      </c>
    </row>
    <row r="25" customFormat="false" ht="15" hidden="false" customHeight="true" outlineLevel="0" collapsed="false">
      <c r="B25" s="38" t="s">
        <v>49</v>
      </c>
    </row>
    <row r="27" customFormat="false" ht="15" hidden="false" customHeight="true" outlineLevel="0" collapsed="false">
      <c r="B27" s="36" t="s">
        <v>50</v>
      </c>
    </row>
    <row r="28" customFormat="false" ht="15" hidden="false" customHeight="true" outlineLevel="0" collapsed="false">
      <c r="B28" s="38" t="s">
        <v>51</v>
      </c>
    </row>
    <row r="31" customFormat="false" ht="15" hidden="false" customHeight="true" outlineLevel="0" collapsed="false">
      <c r="B31" s="35" t="s">
        <v>52</v>
      </c>
    </row>
    <row r="33" customFormat="false" ht="15" hidden="false" customHeight="true" outlineLevel="0" collapsed="false">
      <c r="B33" s="38" t="s">
        <v>53</v>
      </c>
    </row>
    <row r="35" customFormat="false" ht="15" hidden="false" customHeight="true" outlineLevel="0" collapsed="false">
      <c r="B35" s="38" t="s">
        <v>54</v>
      </c>
    </row>
    <row r="37" customFormat="false" ht="15" hidden="false" customHeight="true" outlineLevel="0" collapsed="false">
      <c r="B37" s="39" t="s">
        <v>55</v>
      </c>
    </row>
    <row r="38" customFormat="false" ht="15" hidden="false" customHeight="true" outlineLevel="0" collapsed="false">
      <c r="B38" s="40" t="s">
        <v>56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2026-03-19T10:28:42Z</dcterms:created>
  <dc:creator>openpyxl</dc:creator>
  <dc:description/>
  <dc:language>en-US</dc:language>
  <cp:lastModifiedBy/>
  <dcterms:modified xsi:type="dcterms:W3CDTF">2026-03-19T10:29:38Z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